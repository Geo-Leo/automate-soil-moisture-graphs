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defaultThemeVersion="166925"/>
  <mc:AlternateContent xmlns:mc="http://schemas.openxmlformats.org/markup-compatibility/2006">
    <mc:Choice Requires="x15">
      <x15ac:absPath xmlns:x15ac="http://schemas.microsoft.com/office/spreadsheetml/2010/11/ac" url="C:\Users\1294\PycharmProjects\Pepperdine_graphs\"/>
    </mc:Choice>
  </mc:AlternateContent>
  <xr:revisionPtr revIDLastSave="0" documentId="13_ncr:1_{23A8B9CB-1C13-42FF-9010-9C1E2BD560BF}" xr6:coauthVersionLast="36" xr6:coauthVersionMax="36" xr10:uidLastSave="{00000000-0000-0000-0000-000000000000}"/>
  <bookViews>
    <workbookView xWindow="0" yWindow="0" windowWidth="15200" windowHeight="6550" activeTab="2" xr2:uid="{6EC8AC39-FAAB-45BC-B1FF-8E61CD7AF347}"/>
  </bookViews>
  <sheets>
    <sheet name="Irrigation" sheetId="1" r:id="rId1"/>
    <sheet name="Soil_Moisture" sheetId="2" r:id="rId2"/>
    <sheet name="GW_Elevation" sheetId="4" r:id="rId3"/>
    <sheet name="Precipitation" sheetId="3"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15" i="3" l="1"/>
  <c r="A103" i="3"/>
  <c r="A102" i="3"/>
  <c r="A101" i="3"/>
  <c r="A100" i="3"/>
  <c r="A99" i="3"/>
  <c r="A98" i="3"/>
  <c r="A97" i="3"/>
  <c r="A96" i="3"/>
  <c r="A95" i="3"/>
  <c r="A94" i="3"/>
  <c r="A93" i="3"/>
  <c r="A92" i="3"/>
  <c r="A9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 Kaiser</author>
    <author>445</author>
  </authors>
  <commentList>
    <comment ref="G263" authorId="0" shapeId="0" xr:uid="{964B95CD-DA0E-4455-8FD3-06A758BF7FAD}">
      <text>
        <r>
          <rPr>
            <b/>
            <sz val="9"/>
            <color indexed="81"/>
            <rFont val="Tahoma"/>
            <family val="2"/>
          </rPr>
          <t>Phil Kaiser:</t>
        </r>
        <r>
          <rPr>
            <sz val="9"/>
            <color indexed="81"/>
            <rFont val="Tahoma"/>
            <family val="2"/>
          </rPr>
          <t xml:space="preserve">
can't be negative</t>
        </r>
      </text>
    </comment>
    <comment ref="H316" authorId="1" shapeId="0" xr:uid="{3AE37DA1-064E-43B3-8FB6-346D2D532FED}">
      <text>
        <r>
          <rPr>
            <b/>
            <sz val="9"/>
            <color indexed="81"/>
            <rFont val="Tahoma"/>
            <family val="2"/>
          </rPr>
          <t>445:</t>
        </r>
        <r>
          <rPr>
            <sz val="9"/>
            <color indexed="81"/>
            <rFont val="Tahoma"/>
            <family val="2"/>
          </rPr>
          <t xml:space="preserve">
See TOTAL Year 2013-2014 Oct-Sept - REVISED AUGUST 4-2015:
The meter reads to 10,000,000 then starts back at zero.  The meter hit 10 million and reset prior to reading the meter on July 17, 2014.  The weekly usage was calculated incorrectly, 1.903,000 instead of 809,700) and entered as a number.
The same wrong number (1,903,000) was entered for July 24, 2014 when the correct value was 642,000.</t>
        </r>
      </text>
    </comment>
    <comment ref="G346" authorId="0" shapeId="0" xr:uid="{6B67E2EA-2EA2-44B3-A57E-7EBC6445D58F}">
      <text>
        <r>
          <rPr>
            <b/>
            <sz val="9"/>
            <color indexed="81"/>
            <rFont val="Tahoma"/>
            <family val="2"/>
          </rPr>
          <t>Phil Kaiser:</t>
        </r>
        <r>
          <rPr>
            <sz val="9"/>
            <color indexed="81"/>
            <rFont val="Tahoma"/>
            <family val="2"/>
          </rPr>
          <t xml:space="preserve">
Meter 50 water is a lateral off Metered Area 20 for water going to the Waste Flow Equalization Station.  This number represents Metered Area 20 raw total less Metered Area 50 total.  The number here is the true irrigation.</t>
        </r>
      </text>
    </comment>
    <comment ref="G347" authorId="0" shapeId="0" xr:uid="{DDF563C8-3443-4E4C-BED0-4E3A39AE372F}">
      <text>
        <r>
          <rPr>
            <b/>
            <sz val="9"/>
            <color indexed="81"/>
            <rFont val="Tahoma"/>
            <family val="2"/>
          </rPr>
          <t>Phil Kaiser:</t>
        </r>
        <r>
          <rPr>
            <sz val="9"/>
            <color indexed="81"/>
            <rFont val="Tahoma"/>
            <family val="2"/>
          </rPr>
          <t xml:space="preserve">
Meter 50 water is a lateral off Metered Area 20 for water going to the Waste Flow Equalization Station.  This number represents Metered Area 20 raw total less Metered Area 50 total.  The number here is the true irrigation.</t>
        </r>
      </text>
    </comment>
    <comment ref="G348" authorId="0" shapeId="0" xr:uid="{7D6A4DFF-7DED-4974-9AF3-C03B5A632D50}">
      <text>
        <r>
          <rPr>
            <b/>
            <sz val="9"/>
            <color indexed="81"/>
            <rFont val="Tahoma"/>
            <family val="2"/>
          </rPr>
          <t>Phil Kaiser:</t>
        </r>
        <r>
          <rPr>
            <sz val="9"/>
            <color indexed="81"/>
            <rFont val="Tahoma"/>
            <family val="2"/>
          </rPr>
          <t xml:space="preserve">
Meter 50 water is a lateral off Metered Area 20 for water going to the Waste Flow Equalization Station.  This number represents Metered Area 20 raw total less Metered Area 50 total.  The number here is the true irrigation.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445</author>
  </authors>
  <commentList>
    <comment ref="N253" authorId="0" shapeId="0" xr:uid="{240F2080-69EA-42DB-A8B4-019AA2FD2319}">
      <text>
        <r>
          <rPr>
            <b/>
            <sz val="8"/>
            <color indexed="81"/>
            <rFont val="Tahoma"/>
            <family val="2"/>
          </rPr>
          <t>445:</t>
        </r>
        <r>
          <rPr>
            <sz val="8"/>
            <color indexed="81"/>
            <rFont val="Tahoma"/>
            <family val="2"/>
          </rPr>
          <t xml:space="preserve">
VN-15, VN-16, VN-17, VN-18, measured with regular probe but long cable and using a new standard count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445</author>
    <author>Phil Kaiser</author>
  </authors>
  <commentList>
    <comment ref="B226" authorId="0" shapeId="0" xr:uid="{E209828C-1299-4E9A-B4B3-F00A22C28FC6}">
      <text>
        <r>
          <rPr>
            <b/>
            <sz val="8"/>
            <color indexed="81"/>
            <rFont val="Tahoma"/>
            <family val="2"/>
          </rPr>
          <t>Phil Kaiser:</t>
        </r>
        <r>
          <rPr>
            <sz val="8"/>
            <color indexed="81"/>
            <rFont val="Tahoma"/>
            <family val="2"/>
          </rPr>
          <t xml:space="preserve">
only stables logger used while the meadows logger was out for repair</t>
        </r>
      </text>
    </comment>
    <comment ref="B227" authorId="0" shapeId="0" xr:uid="{AE2344A7-36B0-4F0D-B225-4234372B2D2C}">
      <text>
        <r>
          <rPr>
            <b/>
            <sz val="8"/>
            <color indexed="81"/>
            <rFont val="Tahoma"/>
            <family val="2"/>
          </rPr>
          <t xml:space="preserve">Phil Kaiser:
</t>
        </r>
        <r>
          <rPr>
            <sz val="8"/>
            <color indexed="81"/>
            <rFont val="Tahoma"/>
            <family val="2"/>
          </rPr>
          <t>only stables logger used while the meadows logger was out for repair</t>
        </r>
      </text>
    </comment>
    <comment ref="B280" authorId="0" shapeId="0" xr:uid="{9A6D2E9F-0DA6-4D93-A775-DEB81FF7E7E8}">
      <text>
        <r>
          <rPr>
            <b/>
            <sz val="8"/>
            <color indexed="81"/>
            <rFont val="Tahoma"/>
            <family val="2"/>
          </rPr>
          <t>445:</t>
        </r>
        <r>
          <rPr>
            <sz val="8"/>
            <color indexed="81"/>
            <rFont val="Tahoma"/>
            <family val="2"/>
          </rPr>
          <t xml:space="preserve">
July rain fell when meadows logger was not recording, so the total uses the stables data</t>
        </r>
      </text>
    </comment>
    <comment ref="B383" authorId="1" shapeId="0" xr:uid="{AE881B15-7755-4F91-8E9F-B76621651182}">
      <text>
        <r>
          <rPr>
            <b/>
            <sz val="9"/>
            <color indexed="81"/>
            <rFont val="Tahoma"/>
            <family val="2"/>
          </rPr>
          <t>Phil Kaiser:</t>
        </r>
        <r>
          <rPr>
            <sz val="9"/>
            <color indexed="81"/>
            <rFont val="Tahoma"/>
            <family val="2"/>
          </rPr>
          <t xml:space="preserve">
Stables gauge not recording through 2/19, so only Meadows gauge through 2/19.
Meadows gauge not recording from 2/19 through 3/8, so only Stables gauge from 2/19 through 2/28
</t>
        </r>
      </text>
    </comment>
  </commentList>
</comments>
</file>

<file path=xl/sharedStrings.xml><?xml version="1.0" encoding="utf-8"?>
<sst xmlns="http://schemas.openxmlformats.org/spreadsheetml/2006/main" count="67" uniqueCount="63">
  <si>
    <t>T</t>
  </si>
  <si>
    <t>Date</t>
  </si>
  <si>
    <t>VN-3</t>
  </si>
  <si>
    <t>VN-5</t>
  </si>
  <si>
    <t>VN-6</t>
  </si>
  <si>
    <t>VN-7</t>
  </si>
  <si>
    <t>VN-8</t>
  </si>
  <si>
    <t>VN-9</t>
  </si>
  <si>
    <t>VN-11</t>
  </si>
  <si>
    <t>VN-13</t>
  </si>
  <si>
    <t>VN-15</t>
  </si>
  <si>
    <t>VN-16</t>
  </si>
  <si>
    <t>VN-17</t>
  </si>
  <si>
    <t>VN-18</t>
  </si>
  <si>
    <t>VN-19</t>
  </si>
  <si>
    <t>Precipitation</t>
  </si>
  <si>
    <t>15</t>
  </si>
  <si>
    <t>45</t>
  </si>
  <si>
    <t>18</t>
  </si>
  <si>
    <t>20</t>
  </si>
  <si>
    <t>23</t>
  </si>
  <si>
    <t>39</t>
  </si>
  <si>
    <t>55</t>
  </si>
  <si>
    <t>56</t>
  </si>
  <si>
    <t>57</t>
  </si>
  <si>
    <t>60</t>
  </si>
  <si>
    <t>VN-10/VN-10R</t>
  </si>
  <si>
    <t xml:space="preserve"> </t>
  </si>
  <si>
    <t>1A</t>
  </si>
  <si>
    <t>2A</t>
  </si>
  <si>
    <t>3A</t>
  </si>
  <si>
    <t>3B</t>
  </si>
  <si>
    <t>4A</t>
  </si>
  <si>
    <t>5A</t>
  </si>
  <si>
    <t>5B</t>
  </si>
  <si>
    <t>5C</t>
  </si>
  <si>
    <t>6A</t>
  </si>
  <si>
    <t>7A</t>
  </si>
  <si>
    <t>8A</t>
  </si>
  <si>
    <t>9A</t>
  </si>
  <si>
    <t>9B</t>
  </si>
  <si>
    <t>10A</t>
  </si>
  <si>
    <t>10B</t>
  </si>
  <si>
    <t>11A</t>
  </si>
  <si>
    <t>11B</t>
  </si>
  <si>
    <t>12A</t>
  </si>
  <si>
    <t>18S</t>
  </si>
  <si>
    <t>18D</t>
  </si>
  <si>
    <t>19D</t>
  </si>
  <si>
    <t>19S</t>
  </si>
  <si>
    <t>20D</t>
  </si>
  <si>
    <t>20S</t>
  </si>
  <si>
    <t>21D</t>
  </si>
  <si>
    <t>21S</t>
  </si>
  <si>
    <t>22D</t>
  </si>
  <si>
    <t>22S</t>
  </si>
  <si>
    <t>1</t>
  </si>
  <si>
    <t>5</t>
  </si>
  <si>
    <t>29</t>
  </si>
  <si>
    <t>30</t>
  </si>
  <si>
    <t>31</t>
  </si>
  <si>
    <t>48</t>
  </si>
  <si>
    <t>51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</si>
</sst>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General_)"/>
    <numFmt numFmtId="165" formatCode="#,##0;[Red]#,##0"/>
    <numFmt numFmtId="166" formatCode="0_);\(0\)"/>
    <numFmt numFmtId="167" formatCode="0.00_)"/>
    <numFmt numFmtId="168" formatCode="0.0_)"/>
    <numFmt numFmtId="169" formatCode="0.0"/>
  </numFmts>
  <fonts count="22" x14ac:knownFonts="1">
    <font>
      <sz val="11"/>
      <color theme="1"/>
      <name val="Calibri"/>
      <family val="2"/>
      <scheme val="minor"/>
    </font>
    <font>
      <sz val="11"/>
      <color theme="1"/>
      <name val="Calibri"/>
      <family val="2"/>
      <scheme val="minor"/>
    </font>
    <font>
      <sz val="10"/>
      <name val="Arial"/>
      <family val="2"/>
    </font>
    <font>
      <sz val="11"/>
      <name val="Arial"/>
      <family val="2"/>
    </font>
    <font>
      <sz val="8"/>
      <name val="Arial"/>
      <family val="2"/>
    </font>
    <font>
      <sz val="9"/>
      <name val="Arial"/>
      <family val="2"/>
    </font>
    <font>
      <sz val="10"/>
      <color theme="1"/>
      <name val="Arial"/>
      <family val="2"/>
    </font>
    <font>
      <sz val="9"/>
      <color theme="1"/>
      <name val="Arial"/>
      <family val="2"/>
    </font>
    <font>
      <sz val="11"/>
      <color theme="1"/>
      <name val="Arial"/>
      <family val="2"/>
    </font>
    <font>
      <b/>
      <sz val="8"/>
      <color indexed="81"/>
      <name val="Tahoma"/>
      <family val="2"/>
    </font>
    <font>
      <sz val="8"/>
      <color indexed="81"/>
      <name val="Tahoma"/>
      <family val="2"/>
    </font>
    <font>
      <b/>
      <sz val="9"/>
      <color indexed="81"/>
      <name val="Tahoma"/>
      <family val="2"/>
    </font>
    <font>
      <sz val="9"/>
      <color indexed="81"/>
      <name val="Tahoma"/>
      <family val="2"/>
    </font>
    <font>
      <b/>
      <sz val="8"/>
      <name val="Arial"/>
      <family val="2"/>
    </font>
    <font>
      <sz val="7"/>
      <name val="helv"/>
    </font>
    <font>
      <sz val="10"/>
      <name val="Arial"/>
    </font>
    <font>
      <sz val="8"/>
      <color indexed="12"/>
      <name val="Arial"/>
      <family val="2"/>
    </font>
    <font>
      <sz val="8"/>
      <color indexed="16"/>
      <name val="Arial"/>
      <family val="2"/>
    </font>
    <font>
      <sz val="8"/>
      <color indexed="58"/>
      <name val="Arial"/>
      <family val="2"/>
    </font>
    <font>
      <sz val="8"/>
      <color rgb="FF008000"/>
      <name val="Arial"/>
      <family val="2"/>
    </font>
    <font>
      <sz val="8"/>
      <color rgb="FF0000FF"/>
      <name val="Arial"/>
      <family val="2"/>
    </font>
    <font>
      <sz val="8"/>
      <name val="Arial"/>
    </font>
  </fonts>
  <fills count="8">
    <fill>
      <patternFill patternType="none"/>
    </fill>
    <fill>
      <patternFill patternType="gray125"/>
    </fill>
    <fill>
      <patternFill patternType="solid">
        <fgColor rgb="FF00FFFF"/>
        <bgColor indexed="64"/>
      </patternFill>
    </fill>
    <fill>
      <patternFill patternType="solid">
        <fgColor indexed="22"/>
        <bgColor indexed="64"/>
      </patternFill>
    </fill>
    <fill>
      <patternFill patternType="solid">
        <fgColor indexed="41"/>
        <bgColor indexed="64"/>
      </patternFill>
    </fill>
    <fill>
      <patternFill patternType="solid">
        <fgColor indexed="47"/>
        <bgColor indexed="64"/>
      </patternFill>
    </fill>
    <fill>
      <patternFill patternType="solid">
        <fgColor rgb="FFCCFFCC"/>
        <bgColor indexed="64"/>
      </patternFill>
    </fill>
    <fill>
      <patternFill patternType="solid">
        <fgColor rgb="FFFF9999"/>
        <bgColor indexed="64"/>
      </patternFill>
    </fill>
  </fills>
  <borders count="17">
    <border>
      <left/>
      <right/>
      <top/>
      <bottom/>
      <diagonal/>
    </border>
    <border>
      <left/>
      <right style="double">
        <color indexed="64"/>
      </right>
      <top/>
      <bottom/>
      <diagonal/>
    </border>
    <border>
      <left/>
      <right style="double">
        <color indexed="64"/>
      </right>
      <top/>
      <bottom style="medium">
        <color indexed="64"/>
      </bottom>
      <diagonal/>
    </border>
    <border>
      <left/>
      <right/>
      <top/>
      <bottom style="medium">
        <color indexed="64"/>
      </bottom>
      <diagonal/>
    </border>
    <border>
      <left style="double">
        <color indexed="64"/>
      </left>
      <right style="double">
        <color indexed="64"/>
      </right>
      <top/>
      <bottom style="medium">
        <color indexed="64"/>
      </bottom>
      <diagonal/>
    </border>
    <border>
      <left/>
      <right/>
      <top style="medium">
        <color indexed="64"/>
      </top>
      <bottom/>
      <diagonal/>
    </border>
    <border>
      <left/>
      <right style="double">
        <color indexed="64"/>
      </right>
      <top style="medium">
        <color indexed="64"/>
      </top>
      <bottom/>
      <diagonal/>
    </border>
    <border>
      <left/>
      <right/>
      <top/>
      <bottom style="thin">
        <color indexed="64"/>
      </bottom>
      <diagonal/>
    </border>
    <border>
      <left/>
      <right/>
      <top style="thin">
        <color indexed="64"/>
      </top>
      <bottom/>
      <diagonal/>
    </border>
    <border>
      <left/>
      <right style="thin">
        <color indexed="8"/>
      </right>
      <top/>
      <bottom/>
      <diagonal/>
    </border>
    <border>
      <left style="thin">
        <color indexed="8"/>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top style="double">
        <color indexed="8"/>
      </top>
      <bottom/>
      <diagonal/>
    </border>
  </borders>
  <cellStyleXfs count="17">
    <xf numFmtId="0" fontId="0" fillId="0" borderId="0"/>
    <xf numFmtId="43" fontId="1" fillId="0" borderId="0" applyFont="0" applyFill="0" applyBorder="0" applyAlignment="0" applyProtection="0"/>
    <xf numFmtId="164" fontId="14" fillId="0" borderId="0"/>
    <xf numFmtId="0" fontId="15" fillId="0" borderId="0"/>
    <xf numFmtId="43" fontId="2" fillId="0" borderId="0" applyFont="0" applyFill="0" applyBorder="0" applyAlignment="0" applyProtection="0"/>
    <xf numFmtId="9" fontId="2" fillId="0" borderId="0" applyFont="0" applyFill="0" applyBorder="0" applyAlignment="0" applyProtection="0"/>
    <xf numFmtId="9" fontId="4" fillId="0" borderId="0" applyFont="0" applyFill="0" applyBorder="0" applyAlignment="0" applyProtection="0"/>
    <xf numFmtId="0" fontId="4" fillId="0" borderId="0"/>
    <xf numFmtId="43" fontId="4" fillId="0" borderId="0" applyFont="0" applyFill="0" applyBorder="0" applyAlignment="0" applyProtection="0"/>
    <xf numFmtId="0" fontId="21" fillId="0" borderId="0"/>
    <xf numFmtId="0" fontId="15" fillId="0" borderId="0"/>
    <xf numFmtId="43" fontId="15"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9" fontId="15" fillId="0" borderId="0" applyFont="0" applyFill="0" applyBorder="0" applyAlignment="0" applyProtection="0"/>
    <xf numFmtId="9" fontId="2" fillId="0" borderId="0" applyFont="0" applyFill="0" applyBorder="0" applyAlignment="0" applyProtection="0"/>
    <xf numFmtId="9" fontId="2" fillId="0" borderId="0" applyFont="0" applyFill="0" applyBorder="0" applyAlignment="0" applyProtection="0"/>
  </cellStyleXfs>
  <cellXfs count="429">
    <xf numFmtId="0" fontId="0" fillId="0" borderId="0" xfId="0"/>
    <xf numFmtId="37" fontId="2" fillId="2" borderId="0" xfId="0" applyNumberFormat="1" applyFont="1" applyFill="1" applyProtection="1"/>
    <xf numFmtId="0" fontId="2" fillId="2" borderId="0" xfId="0" applyNumberFormat="1" applyFont="1" applyFill="1" applyProtection="1"/>
    <xf numFmtId="0" fontId="2" fillId="2" borderId="0" xfId="0" applyFont="1" applyFill="1"/>
    <xf numFmtId="3" fontId="2" fillId="2" borderId="0" xfId="0" applyNumberFormat="1" applyFont="1" applyFill="1" applyProtection="1"/>
    <xf numFmtId="3" fontId="2" fillId="2" borderId="0" xfId="0" applyNumberFormat="1" applyFont="1" applyFill="1"/>
    <xf numFmtId="0" fontId="2" fillId="2" borderId="0" xfId="0" applyNumberFormat="1" applyFont="1" applyFill="1"/>
    <xf numFmtId="165" fontId="2" fillId="2" borderId="0" xfId="0" applyNumberFormat="1" applyFont="1" applyFill="1"/>
    <xf numFmtId="165" fontId="2" fillId="2" borderId="0" xfId="1" applyNumberFormat="1" applyFont="1" applyFill="1" applyBorder="1"/>
    <xf numFmtId="37" fontId="2" fillId="2" borderId="0" xfId="1" applyNumberFormat="1" applyFont="1" applyFill="1" applyBorder="1"/>
    <xf numFmtId="3" fontId="2" fillId="2" borderId="0" xfId="0" applyNumberFormat="1" applyFont="1" applyFill="1" applyBorder="1"/>
    <xf numFmtId="37" fontId="2" fillId="2" borderId="0" xfId="0" applyNumberFormat="1" applyFont="1" applyFill="1" applyBorder="1" applyProtection="1"/>
    <xf numFmtId="0" fontId="2" fillId="2" borderId="0" xfId="0" applyNumberFormat="1" applyFont="1" applyFill="1" applyBorder="1" applyProtection="1"/>
    <xf numFmtId="0" fontId="2" fillId="2" borderId="0" xfId="0" applyNumberFormat="1" applyFont="1" applyFill="1" applyBorder="1"/>
    <xf numFmtId="37" fontId="2" fillId="2" borderId="0" xfId="0" applyNumberFormat="1" applyFont="1" applyFill="1"/>
    <xf numFmtId="37" fontId="2" fillId="2" borderId="0" xfId="0" applyNumberFormat="1" applyFont="1" applyFill="1" applyBorder="1"/>
    <xf numFmtId="0" fontId="2" fillId="2" borderId="0" xfId="1" applyNumberFormat="1" applyFont="1" applyFill="1" applyBorder="1" applyAlignment="1"/>
    <xf numFmtId="0" fontId="2" fillId="2" borderId="0" xfId="0" applyNumberFormat="1" applyFont="1" applyFill="1" applyBorder="1" applyAlignment="1"/>
    <xf numFmtId="0" fontId="2" fillId="2" borderId="0" xfId="0" applyNumberFormat="1" applyFont="1" applyFill="1" applyBorder="1" applyAlignment="1" applyProtection="1"/>
    <xf numFmtId="3" fontId="2" fillId="2" borderId="0" xfId="0" applyNumberFormat="1" applyFont="1" applyFill="1" applyAlignment="1" applyProtection="1"/>
    <xf numFmtId="3" fontId="2" fillId="2" borderId="0" xfId="0" applyNumberFormat="1" applyFont="1" applyFill="1" applyBorder="1" applyAlignment="1"/>
    <xf numFmtId="37" fontId="4" fillId="2" borderId="0" xfId="0" applyNumberFormat="1" applyFont="1" applyFill="1"/>
    <xf numFmtId="37" fontId="4" fillId="2" borderId="0" xfId="0" applyNumberFormat="1" applyFont="1" applyFill="1" applyBorder="1"/>
    <xf numFmtId="0" fontId="4" fillId="0" borderId="0" xfId="0" applyFont="1" applyBorder="1"/>
    <xf numFmtId="0" fontId="5" fillId="2" borderId="0" xfId="1" applyNumberFormat="1" applyFont="1" applyFill="1"/>
    <xf numFmtId="0" fontId="2" fillId="2" borderId="0" xfId="1" applyNumberFormat="1" applyFont="1" applyFill="1"/>
    <xf numFmtId="0" fontId="5" fillId="2" borderId="0" xfId="0" applyNumberFormat="1" applyFont="1" applyFill="1"/>
    <xf numFmtId="0" fontId="6" fillId="2" borderId="0" xfId="0" applyFont="1" applyFill="1" applyBorder="1"/>
    <xf numFmtId="0" fontId="6" fillId="2" borderId="0" xfId="0" applyNumberFormat="1" applyFont="1" applyFill="1" applyBorder="1"/>
    <xf numFmtId="0" fontId="0" fillId="2" borderId="0" xfId="0" applyFill="1"/>
    <xf numFmtId="0" fontId="0" fillId="2" borderId="0" xfId="0" applyNumberFormat="1" applyFill="1"/>
    <xf numFmtId="166" fontId="5" fillId="2" borderId="0" xfId="0" applyNumberFormat="1" applyFont="1" applyFill="1" applyBorder="1"/>
    <xf numFmtId="166" fontId="7" fillId="2" borderId="0" xfId="0" applyNumberFormat="1" applyFont="1" applyFill="1" applyBorder="1"/>
    <xf numFmtId="0" fontId="5" fillId="2" borderId="0" xfId="0" applyFont="1" applyFill="1"/>
    <xf numFmtId="0" fontId="7" fillId="2" borderId="0" xfId="0" applyNumberFormat="1" applyFont="1" applyFill="1" applyBorder="1"/>
    <xf numFmtId="1" fontId="2" fillId="2" borderId="0" xfId="0" applyNumberFormat="1" applyFont="1" applyFill="1"/>
    <xf numFmtId="0" fontId="6" fillId="2" borderId="0" xfId="0" applyNumberFormat="1" applyFont="1" applyFill="1"/>
    <xf numFmtId="0" fontId="3" fillId="2" borderId="0" xfId="0" applyFont="1" applyFill="1"/>
    <xf numFmtId="0" fontId="8" fillId="2" borderId="0" xfId="0" applyNumberFormat="1" applyFont="1" applyFill="1"/>
    <xf numFmtId="0" fontId="8" fillId="2" borderId="0" xfId="0" applyFont="1" applyFill="1"/>
    <xf numFmtId="167" fontId="4" fillId="0" borderId="1" xfId="0" applyNumberFormat="1" applyFont="1" applyBorder="1" applyAlignment="1" applyProtection="1">
      <alignment vertical="center"/>
    </xf>
    <xf numFmtId="0" fontId="4" fillId="0" borderId="1" xfId="0" applyFont="1" applyBorder="1" applyAlignment="1">
      <alignment vertical="center"/>
    </xf>
    <xf numFmtId="0" fontId="4" fillId="0" borderId="0" xfId="0" applyFont="1" applyBorder="1" applyAlignment="1">
      <alignment vertical="center"/>
    </xf>
    <xf numFmtId="167" fontId="4" fillId="0" borderId="2" xfId="0" applyNumberFormat="1" applyFont="1" applyBorder="1" applyAlignment="1" applyProtection="1">
      <alignment vertical="center"/>
    </xf>
    <xf numFmtId="0" fontId="4" fillId="0" borderId="2" xfId="0" applyFont="1" applyBorder="1" applyAlignment="1">
      <alignment vertical="center"/>
    </xf>
    <xf numFmtId="0" fontId="4" fillId="0" borderId="3" xfId="0" applyFont="1" applyBorder="1" applyAlignment="1">
      <alignment vertical="center"/>
    </xf>
    <xf numFmtId="167" fontId="4" fillId="4" borderId="1" xfId="0" applyNumberFormat="1" applyFont="1" applyFill="1" applyBorder="1" applyAlignment="1" applyProtection="1">
      <alignment vertical="center"/>
    </xf>
    <xf numFmtId="0" fontId="4" fillId="4" borderId="1" xfId="0" applyFont="1" applyFill="1" applyBorder="1" applyAlignment="1">
      <alignment vertical="center"/>
    </xf>
    <xf numFmtId="167" fontId="4" fillId="4" borderId="2" xfId="0" applyNumberFormat="1" applyFont="1" applyFill="1" applyBorder="1" applyAlignment="1" applyProtection="1">
      <alignment vertical="center"/>
    </xf>
    <xf numFmtId="0" fontId="4" fillId="4" borderId="2" xfId="0" applyFont="1" applyFill="1" applyBorder="1" applyAlignment="1">
      <alignment vertical="center"/>
    </xf>
    <xf numFmtId="43" fontId="4" fillId="4" borderId="1" xfId="1" applyFont="1" applyFill="1" applyBorder="1" applyAlignment="1" applyProtection="1">
      <alignment vertical="center"/>
    </xf>
    <xf numFmtId="43" fontId="4" fillId="0" borderId="1" xfId="1" applyFont="1" applyBorder="1" applyAlignment="1" applyProtection="1">
      <alignment vertical="center"/>
    </xf>
    <xf numFmtId="43" fontId="4" fillId="4" borderId="2" xfId="1" applyFont="1" applyFill="1" applyBorder="1" applyAlignment="1" applyProtection="1">
      <alignment vertical="center"/>
    </xf>
    <xf numFmtId="43" fontId="4" fillId="0" borderId="2" xfId="1" applyFont="1" applyBorder="1" applyAlignment="1" applyProtection="1">
      <alignment vertical="center"/>
    </xf>
    <xf numFmtId="2" fontId="4" fillId="4" borderId="1" xfId="1" applyNumberFormat="1" applyFont="1" applyFill="1" applyBorder="1" applyAlignment="1" applyProtection="1">
      <alignment vertical="center"/>
    </xf>
    <xf numFmtId="2" fontId="4" fillId="0" borderId="1" xfId="1" applyNumberFormat="1" applyFont="1" applyBorder="1" applyAlignment="1" applyProtection="1">
      <alignment vertical="center"/>
    </xf>
    <xf numFmtId="2" fontId="4" fillId="0" borderId="1" xfId="0" applyNumberFormat="1" applyFont="1" applyBorder="1" applyAlignment="1">
      <alignment vertical="center"/>
    </xf>
    <xf numFmtId="2" fontId="4" fillId="0" borderId="0" xfId="0" applyNumberFormat="1" applyFont="1" applyBorder="1" applyAlignment="1">
      <alignment vertical="center"/>
    </xf>
    <xf numFmtId="2" fontId="4" fillId="4" borderId="1" xfId="0" applyNumberFormat="1" applyFont="1" applyFill="1" applyBorder="1" applyAlignment="1" applyProtection="1">
      <alignment vertical="center"/>
    </xf>
    <xf numFmtId="2" fontId="4" fillId="0" borderId="1" xfId="0" applyNumberFormat="1" applyFont="1" applyBorder="1" applyAlignment="1" applyProtection="1">
      <alignment vertical="center"/>
    </xf>
    <xf numFmtId="2" fontId="4" fillId="4" borderId="2" xfId="0" applyNumberFormat="1" applyFont="1" applyFill="1" applyBorder="1" applyAlignment="1" applyProtection="1">
      <alignment vertical="center"/>
    </xf>
    <xf numFmtId="2" fontId="4" fillId="0" borderId="3" xfId="0" applyNumberFormat="1" applyFont="1" applyBorder="1" applyAlignment="1">
      <alignment vertical="center"/>
    </xf>
    <xf numFmtId="2" fontId="4" fillId="3" borderId="4" xfId="0" applyNumberFormat="1" applyFont="1" applyFill="1" applyBorder="1" applyAlignment="1" applyProtection="1">
      <alignment vertical="center"/>
    </xf>
    <xf numFmtId="2" fontId="4" fillId="0" borderId="2" xfId="0" applyNumberFormat="1" applyFont="1" applyBorder="1" applyAlignment="1" applyProtection="1">
      <alignment vertical="center"/>
    </xf>
    <xf numFmtId="2" fontId="4" fillId="0" borderId="2" xfId="0" applyNumberFormat="1" applyFont="1" applyBorder="1" applyAlignment="1">
      <alignment vertical="center"/>
    </xf>
    <xf numFmtId="0" fontId="4" fillId="0" borderId="1" xfId="0" applyFont="1" applyBorder="1"/>
    <xf numFmtId="2" fontId="4" fillId="4" borderId="1" xfId="0" applyNumberFormat="1" applyFont="1" applyFill="1" applyBorder="1" applyAlignment="1">
      <alignment vertical="center"/>
    </xf>
    <xf numFmtId="0" fontId="0" fillId="0" borderId="1" xfId="0" applyBorder="1" applyAlignment="1">
      <alignment vertical="center" wrapText="1"/>
    </xf>
    <xf numFmtId="2" fontId="4" fillId="0" borderId="0" xfId="0" applyNumberFormat="1" applyFont="1" applyBorder="1"/>
    <xf numFmtId="0" fontId="4" fillId="0" borderId="3" xfId="0" applyFont="1" applyBorder="1"/>
    <xf numFmtId="2" fontId="4" fillId="0" borderId="3" xfId="0" applyNumberFormat="1" applyFont="1" applyBorder="1"/>
    <xf numFmtId="0" fontId="0" fillId="0" borderId="2" xfId="0" applyBorder="1" applyAlignment="1">
      <alignment vertical="center" wrapText="1"/>
    </xf>
    <xf numFmtId="2" fontId="4" fillId="4" borderId="2" xfId="0" applyNumberFormat="1" applyFont="1" applyFill="1" applyBorder="1" applyAlignment="1">
      <alignment vertical="center"/>
    </xf>
    <xf numFmtId="0" fontId="4" fillId="0" borderId="2" xfId="0" applyFont="1" applyBorder="1"/>
    <xf numFmtId="0" fontId="0" fillId="0" borderId="6" xfId="0" applyBorder="1" applyAlignment="1">
      <alignment vertical="center" wrapText="1"/>
    </xf>
    <xf numFmtId="2" fontId="4" fillId="4" borderId="1" xfId="0" applyNumberFormat="1" applyFont="1" applyFill="1" applyBorder="1"/>
    <xf numFmtId="2" fontId="4" fillId="4" borderId="6" xfId="0" applyNumberFormat="1" applyFont="1" applyFill="1" applyBorder="1" applyAlignment="1" applyProtection="1">
      <alignment vertical="center"/>
    </xf>
    <xf numFmtId="0" fontId="4" fillId="0" borderId="5" xfId="0" applyFont="1" applyBorder="1"/>
    <xf numFmtId="2" fontId="4" fillId="4" borderId="6" xfId="0" applyNumberFormat="1" applyFont="1" applyFill="1" applyBorder="1" applyAlignment="1">
      <alignment vertical="center"/>
    </xf>
    <xf numFmtId="2" fontId="0" fillId="0" borderId="2" xfId="0" applyNumberFormat="1" applyBorder="1" applyAlignment="1">
      <alignment vertical="center" wrapText="1"/>
    </xf>
    <xf numFmtId="2" fontId="4" fillId="0" borderId="0" xfId="0" applyNumberFormat="1" applyFont="1"/>
    <xf numFmtId="0" fontId="4" fillId="0" borderId="0" xfId="0" applyFont="1"/>
    <xf numFmtId="2" fontId="4" fillId="0" borderId="0" xfId="0" applyNumberFormat="1" applyFont="1" applyFill="1"/>
    <xf numFmtId="2" fontId="4" fillId="4" borderId="3" xfId="0" applyNumberFormat="1" applyFont="1" applyFill="1" applyBorder="1" applyAlignment="1" applyProtection="1">
      <alignment vertical="center"/>
    </xf>
    <xf numFmtId="0" fontId="0" fillId="0" borderId="3" xfId="0" applyBorder="1" applyAlignment="1">
      <alignment vertical="center" wrapText="1"/>
    </xf>
    <xf numFmtId="2" fontId="4" fillId="4" borderId="3" xfId="0" applyNumberFormat="1" applyFont="1" applyFill="1" applyBorder="1" applyAlignment="1">
      <alignment vertical="center"/>
    </xf>
    <xf numFmtId="2" fontId="0" fillId="0" borderId="1" xfId="0" applyNumberFormat="1" applyBorder="1" applyAlignment="1">
      <alignment vertical="center" wrapText="1"/>
    </xf>
    <xf numFmtId="2" fontId="4" fillId="0" borderId="1" xfId="0" applyNumberFormat="1" applyFont="1" applyBorder="1" applyAlignment="1">
      <alignment vertical="center" wrapText="1"/>
    </xf>
    <xf numFmtId="2" fontId="4" fillId="0" borderId="2" xfId="0" applyNumberFormat="1" applyFont="1" applyBorder="1" applyAlignment="1">
      <alignment vertical="center" wrapText="1"/>
    </xf>
    <xf numFmtId="2" fontId="4" fillId="0" borderId="6" xfId="0" applyNumberFormat="1" applyFont="1" applyFill="1" applyBorder="1" applyAlignment="1">
      <alignment vertical="center"/>
    </xf>
    <xf numFmtId="2" fontId="4" fillId="0" borderId="1" xfId="0" applyNumberFormat="1" applyFont="1" applyFill="1" applyBorder="1" applyAlignment="1">
      <alignment vertical="center"/>
    </xf>
    <xf numFmtId="2" fontId="4" fillId="0" borderId="0" xfId="2" applyNumberFormat="1" applyFont="1" applyProtection="1"/>
    <xf numFmtId="2" fontId="4" fillId="0" borderId="3" xfId="2" applyNumberFormat="1" applyFont="1" applyBorder="1" applyProtection="1"/>
    <xf numFmtId="2" fontId="4" fillId="0" borderId="0" xfId="2" applyNumberFormat="1" applyFont="1" applyAlignment="1" applyProtection="1">
      <alignment horizontal="right"/>
    </xf>
    <xf numFmtId="2" fontId="4" fillId="0" borderId="0" xfId="2" applyNumberFormat="1" applyFont="1"/>
    <xf numFmtId="2" fontId="14" fillId="0" borderId="0" xfId="2" applyNumberFormat="1"/>
    <xf numFmtId="2" fontId="4" fillId="0" borderId="7" xfId="2" applyNumberFormat="1" applyFont="1" applyBorder="1"/>
    <xf numFmtId="2" fontId="4" fillId="5" borderId="0" xfId="2" applyNumberFormat="1" applyFont="1" applyFill="1"/>
    <xf numFmtId="0" fontId="4" fillId="0" borderId="0" xfId="2" applyNumberFormat="1" applyFont="1"/>
    <xf numFmtId="0" fontId="4" fillId="0" borderId="7" xfId="2" applyNumberFormat="1" applyFont="1" applyBorder="1"/>
    <xf numFmtId="164" fontId="4" fillId="0" borderId="0" xfId="2" applyFont="1"/>
    <xf numFmtId="164" fontId="4" fillId="0" borderId="7" xfId="2" applyFont="1" applyBorder="1"/>
    <xf numFmtId="0" fontId="4" fillId="6" borderId="0" xfId="2" applyNumberFormat="1" applyFont="1" applyFill="1"/>
    <xf numFmtId="0" fontId="4" fillId="7" borderId="0" xfId="2" applyNumberFormat="1" applyFont="1" applyFill="1"/>
    <xf numFmtId="0" fontId="4" fillId="0" borderId="0" xfId="2" applyNumberFormat="1" applyFont="1" applyFill="1"/>
    <xf numFmtId="164" fontId="4" fillId="0" borderId="0" xfId="2" applyNumberFormat="1" applyFont="1" applyBorder="1"/>
    <xf numFmtId="2" fontId="4" fillId="0" borderId="8" xfId="2" applyNumberFormat="1" applyFont="1" applyBorder="1"/>
    <xf numFmtId="2" fontId="4" fillId="0" borderId="0" xfId="2" applyNumberFormat="1" applyFont="1" applyBorder="1"/>
    <xf numFmtId="49" fontId="0" fillId="0" borderId="0" xfId="0" applyNumberFormat="1"/>
    <xf numFmtId="14" fontId="0" fillId="0" borderId="0" xfId="0" applyNumberFormat="1"/>
    <xf numFmtId="14" fontId="4" fillId="0" borderId="0" xfId="2" applyNumberFormat="1" applyFont="1" applyProtection="1"/>
    <xf numFmtId="14" fontId="4" fillId="0" borderId="3" xfId="2" applyNumberFormat="1" applyFont="1" applyBorder="1" applyProtection="1"/>
    <xf numFmtId="14" fontId="14" fillId="0" borderId="0" xfId="2" applyNumberFormat="1" applyProtection="1"/>
    <xf numFmtId="14" fontId="4" fillId="0" borderId="0" xfId="2" applyNumberFormat="1" applyFont="1"/>
    <xf numFmtId="14" fontId="4" fillId="0" borderId="7" xfId="2" applyNumberFormat="1" applyFont="1" applyBorder="1"/>
    <xf numFmtId="14" fontId="4" fillId="0" borderId="0" xfId="2" applyNumberFormat="1" applyFont="1" applyBorder="1"/>
    <xf numFmtId="14" fontId="4" fillId="6" borderId="0" xfId="2" applyNumberFormat="1" applyFont="1" applyFill="1" applyBorder="1"/>
    <xf numFmtId="14" fontId="4" fillId="0" borderId="0" xfId="2" applyNumberFormat="1" applyFont="1" applyFill="1" applyBorder="1"/>
    <xf numFmtId="14" fontId="13" fillId="0" borderId="1" xfId="0" applyNumberFormat="1" applyFont="1" applyFill="1" applyBorder="1" applyAlignment="1" applyProtection="1">
      <alignment vertical="center"/>
    </xf>
    <xf numFmtId="14" fontId="13" fillId="0" borderId="2" xfId="0" applyNumberFormat="1" applyFont="1" applyFill="1" applyBorder="1" applyAlignment="1" applyProtection="1">
      <alignment vertical="center"/>
    </xf>
    <xf numFmtId="14" fontId="2" fillId="0" borderId="0" xfId="0" applyNumberFormat="1" applyFont="1" applyFill="1" applyProtection="1"/>
    <xf numFmtId="14" fontId="2" fillId="0" borderId="0" xfId="0" applyNumberFormat="1" applyFont="1" applyFill="1"/>
    <xf numFmtId="14" fontId="5" fillId="0" borderId="0" xfId="0" applyNumberFormat="1" applyFont="1" applyFill="1"/>
    <xf numFmtId="14" fontId="3" fillId="0" borderId="0" xfId="0" applyNumberFormat="1" applyFont="1" applyFill="1"/>
    <xf numFmtId="14" fontId="3" fillId="0" borderId="0" xfId="0" applyNumberFormat="1" applyFont="1" applyFill="1" applyBorder="1" applyAlignment="1" applyProtection="1">
      <alignment vertical="center"/>
    </xf>
    <xf numFmtId="0" fontId="15" fillId="0" borderId="0" xfId="3"/>
    <xf numFmtId="167" fontId="17" fillId="0" borderId="0" xfId="3" applyNumberFormat="1" applyFont="1" applyAlignment="1" applyProtection="1">
      <alignment horizontal="center"/>
    </xf>
    <xf numFmtId="167" fontId="16" fillId="0" borderId="0" xfId="3" applyNumberFormat="1" applyFont="1" applyAlignment="1" applyProtection="1">
      <alignment horizontal="center"/>
    </xf>
    <xf numFmtId="167" fontId="17" fillId="0" borderId="0" xfId="3" applyNumberFormat="1" applyFont="1" applyBorder="1" applyAlignment="1" applyProtection="1">
      <alignment horizontal="center"/>
    </xf>
    <xf numFmtId="167" fontId="16" fillId="0" borderId="0" xfId="3" applyNumberFormat="1" applyFont="1" applyBorder="1" applyAlignment="1" applyProtection="1">
      <alignment horizontal="center"/>
    </xf>
    <xf numFmtId="17" fontId="18" fillId="0" borderId="0" xfId="3" applyNumberFormat="1" applyFont="1" applyFill="1" applyAlignment="1" applyProtection="1">
      <alignment horizontal="center"/>
    </xf>
    <xf numFmtId="167" fontId="18" fillId="0" borderId="0" xfId="3" applyNumberFormat="1" applyFont="1" applyFill="1" applyAlignment="1" applyProtection="1">
      <alignment horizontal="center"/>
    </xf>
    <xf numFmtId="167" fontId="18" fillId="0" borderId="0" xfId="3" applyNumberFormat="1" applyFont="1" applyAlignment="1" applyProtection="1">
      <alignment horizontal="center"/>
    </xf>
    <xf numFmtId="167" fontId="18" fillId="0" borderId="9" xfId="3" applyNumberFormat="1" applyFont="1" applyBorder="1" applyAlignment="1" applyProtection="1">
      <alignment horizontal="center"/>
    </xf>
    <xf numFmtId="167" fontId="18" fillId="0" borderId="11" xfId="3" applyNumberFormat="1" applyFont="1" applyBorder="1" applyAlignment="1" applyProtection="1">
      <alignment horizontal="center"/>
    </xf>
    <xf numFmtId="167" fontId="18" fillId="0" borderId="0" xfId="3" applyNumberFormat="1" applyFont="1" applyBorder="1" applyAlignment="1" applyProtection="1">
      <alignment horizontal="center"/>
    </xf>
    <xf numFmtId="167" fontId="18" fillId="0" borderId="0" xfId="3" applyNumberFormat="1" applyFont="1" applyFill="1" applyAlignment="1">
      <alignment horizontal="center"/>
    </xf>
    <xf numFmtId="167" fontId="18" fillId="0" borderId="0" xfId="3" applyNumberFormat="1" applyFont="1" applyAlignment="1">
      <alignment horizontal="center"/>
    </xf>
    <xf numFmtId="167" fontId="18" fillId="0" borderId="11" xfId="3" applyNumberFormat="1" applyFont="1" applyBorder="1" applyAlignment="1">
      <alignment horizontal="center"/>
    </xf>
    <xf numFmtId="167" fontId="17" fillId="0" borderId="0" xfId="3" applyNumberFormat="1" applyFont="1" applyAlignment="1">
      <alignment horizontal="center"/>
    </xf>
    <xf numFmtId="167" fontId="18" fillId="0" borderId="0" xfId="3" applyNumberFormat="1" applyFont="1" applyAlignment="1">
      <alignment horizontal="centerContinuous"/>
    </xf>
    <xf numFmtId="167" fontId="19" fillId="0" borderId="0" xfId="3" applyNumberFormat="1" applyFont="1" applyBorder="1" applyAlignment="1">
      <alignment horizontal="center"/>
    </xf>
    <xf numFmtId="167" fontId="19" fillId="0" borderId="0" xfId="3" applyNumberFormat="1" applyFont="1" applyAlignment="1">
      <alignment horizontal="center"/>
    </xf>
    <xf numFmtId="167" fontId="4" fillId="0" borderId="0" xfId="3" applyNumberFormat="1" applyFont="1" applyBorder="1" applyAlignment="1">
      <alignment horizontal="center"/>
    </xf>
    <xf numFmtId="167" fontId="18" fillId="0" borderId="0" xfId="3" applyNumberFormat="1" applyFont="1" applyFill="1" applyBorder="1" applyAlignment="1">
      <alignment horizontal="center"/>
    </xf>
    <xf numFmtId="167" fontId="18" fillId="0" borderId="0" xfId="3" applyNumberFormat="1" applyFont="1" applyBorder="1" applyAlignment="1">
      <alignment horizontal="center"/>
    </xf>
    <xf numFmtId="17" fontId="18" fillId="0" borderId="10" xfId="3" applyNumberFormat="1" applyFont="1" applyBorder="1" applyProtection="1"/>
    <xf numFmtId="167" fontId="4" fillId="0" borderId="0" xfId="3" applyNumberFormat="1" applyFont="1" applyAlignment="1" applyProtection="1">
      <alignment horizontal="center"/>
    </xf>
    <xf numFmtId="17" fontId="18" fillId="0" borderId="0" xfId="3" applyNumberFormat="1" applyFont="1" applyProtection="1"/>
    <xf numFmtId="17" fontId="18" fillId="0" borderId="3" xfId="3" applyNumberFormat="1" applyFont="1" applyBorder="1" applyProtection="1"/>
    <xf numFmtId="167" fontId="18" fillId="0" borderId="3" xfId="3" applyNumberFormat="1" applyFont="1" applyBorder="1" applyAlignment="1" applyProtection="1">
      <alignment horizontal="center"/>
    </xf>
    <xf numFmtId="167" fontId="17" fillId="0" borderId="3" xfId="3" applyNumberFormat="1" applyFont="1" applyBorder="1" applyAlignment="1" applyProtection="1">
      <alignment horizontal="center"/>
    </xf>
    <xf numFmtId="167" fontId="16" fillId="0" borderId="3" xfId="3" applyNumberFormat="1" applyFont="1" applyBorder="1" applyAlignment="1" applyProtection="1">
      <alignment horizontal="center"/>
    </xf>
    <xf numFmtId="167" fontId="4" fillId="0" borderId="3" xfId="3" applyNumberFormat="1" applyFont="1" applyBorder="1" applyAlignment="1" applyProtection="1">
      <alignment horizontal="center"/>
    </xf>
    <xf numFmtId="17" fontId="18" fillId="0" borderId="12" xfId="3" applyNumberFormat="1" applyFont="1" applyBorder="1" applyProtection="1"/>
    <xf numFmtId="17" fontId="18" fillId="0" borderId="13" xfId="3" applyNumberFormat="1" applyFont="1" applyBorder="1" applyProtection="1"/>
    <xf numFmtId="167" fontId="18" fillId="0" borderId="7" xfId="3" applyNumberFormat="1" applyFont="1" applyBorder="1" applyAlignment="1" applyProtection="1">
      <alignment horizontal="center"/>
    </xf>
    <xf numFmtId="167" fontId="17" fillId="0" borderId="7" xfId="3" applyNumberFormat="1" applyFont="1" applyBorder="1" applyAlignment="1" applyProtection="1">
      <alignment horizontal="center"/>
    </xf>
    <xf numFmtId="167" fontId="18" fillId="0" borderId="8" xfId="3" applyNumberFormat="1" applyFont="1" applyBorder="1" applyAlignment="1" applyProtection="1">
      <alignment horizontal="center"/>
    </xf>
    <xf numFmtId="17" fontId="18" fillId="0" borderId="0" xfId="3" applyNumberFormat="1" applyFont="1" applyBorder="1" applyProtection="1"/>
    <xf numFmtId="167" fontId="18" fillId="0" borderId="14" xfId="3" applyNumberFormat="1" applyFont="1" applyBorder="1" applyAlignment="1">
      <alignment horizontal="center"/>
    </xf>
    <xf numFmtId="167" fontId="18" fillId="0" borderId="7" xfId="3" applyNumberFormat="1" applyFont="1" applyBorder="1" applyAlignment="1">
      <alignment horizontal="center"/>
    </xf>
    <xf numFmtId="167" fontId="18" fillId="0" borderId="15" xfId="3" applyNumberFormat="1" applyFont="1" applyBorder="1" applyAlignment="1">
      <alignment horizontal="center"/>
    </xf>
    <xf numFmtId="167" fontId="17" fillId="0" borderId="8" xfId="3" applyNumberFormat="1" applyFont="1" applyBorder="1" applyAlignment="1" applyProtection="1">
      <alignment horizontal="center"/>
    </xf>
    <xf numFmtId="167" fontId="18" fillId="0" borderId="8" xfId="3" applyNumberFormat="1" applyFont="1" applyBorder="1" applyAlignment="1">
      <alignment horizontal="center"/>
    </xf>
    <xf numFmtId="17" fontId="18" fillId="0" borderId="13" xfId="3" applyNumberFormat="1" applyFont="1" applyBorder="1" applyAlignment="1" applyProtection="1">
      <alignment horizontal="center"/>
    </xf>
    <xf numFmtId="167" fontId="17" fillId="0" borderId="0" xfId="3" applyNumberFormat="1" applyFont="1" applyBorder="1" applyAlignment="1">
      <alignment horizontal="center"/>
    </xf>
    <xf numFmtId="167" fontId="18" fillId="0" borderId="0" xfId="3" applyNumberFormat="1" applyFont="1" applyFill="1" applyBorder="1" applyAlignment="1" applyProtection="1">
      <alignment horizontal="center"/>
    </xf>
    <xf numFmtId="0" fontId="19" fillId="0" borderId="0" xfId="3" applyNumberFormat="1" applyFont="1" applyAlignment="1">
      <alignment horizontal="center"/>
    </xf>
    <xf numFmtId="167" fontId="20" fillId="0" borderId="0" xfId="3" applyNumberFormat="1" applyFont="1" applyBorder="1" applyAlignment="1">
      <alignment horizontal="center"/>
    </xf>
    <xf numFmtId="168" fontId="18" fillId="0" borderId="0" xfId="3" applyNumberFormat="1" applyFont="1" applyFill="1" applyBorder="1" applyAlignment="1">
      <alignment horizontal="center"/>
    </xf>
    <xf numFmtId="167" fontId="17" fillId="0" borderId="0" xfId="3" applyNumberFormat="1" applyFont="1" applyFill="1" applyBorder="1" applyAlignment="1">
      <alignment horizontal="center"/>
    </xf>
    <xf numFmtId="167" fontId="17" fillId="0" borderId="0" xfId="3" applyNumberFormat="1" applyFont="1" applyFill="1" applyBorder="1" applyAlignment="1" applyProtection="1">
      <alignment horizontal="center"/>
    </xf>
    <xf numFmtId="167" fontId="18" fillId="0" borderId="16" xfId="3" applyNumberFormat="1" applyFont="1" applyBorder="1" applyAlignment="1" applyProtection="1">
      <alignment horizontal="center"/>
    </xf>
    <xf numFmtId="168" fontId="17" fillId="0" borderId="0" xfId="3" applyNumberFormat="1" applyFont="1" applyBorder="1" applyAlignment="1">
      <alignment horizontal="center"/>
    </xf>
    <xf numFmtId="0" fontId="18" fillId="0" borderId="0" xfId="3" applyNumberFormat="1" applyFont="1" applyBorder="1" applyAlignment="1">
      <alignment horizontal="center"/>
    </xf>
    <xf numFmtId="168" fontId="18" fillId="0" borderId="0" xfId="3" applyNumberFormat="1" applyFont="1" applyBorder="1" applyAlignment="1">
      <alignment horizontal="center"/>
    </xf>
    <xf numFmtId="14" fontId="18" fillId="0" borderId="0" xfId="3" applyNumberFormat="1" applyFont="1" applyFill="1" applyAlignment="1" applyProtection="1">
      <alignment horizontal="center"/>
    </xf>
    <xf numFmtId="0" fontId="15" fillId="0" borderId="0" xfId="3" applyAlignment="1">
      <alignment horizontal="center"/>
    </xf>
    <xf numFmtId="2" fontId="18" fillId="0" borderId="0" xfId="3" applyNumberFormat="1" applyFont="1" applyBorder="1" applyAlignment="1">
      <alignment horizontal="center"/>
    </xf>
    <xf numFmtId="2" fontId="15" fillId="0" borderId="0" xfId="3" applyNumberFormat="1" applyAlignment="1">
      <alignment horizontal="center"/>
    </xf>
    <xf numFmtId="167" fontId="18" fillId="0" borderId="0" xfId="3" applyNumberFormat="1" applyFont="1" applyAlignment="1">
      <alignment horizontal="center"/>
    </xf>
    <xf numFmtId="0" fontId="21" fillId="0" borderId="0" xfId="9"/>
    <xf numFmtId="0" fontId="2" fillId="0" borderId="0" xfId="9" applyFont="1" applyFill="1"/>
    <xf numFmtId="37" fontId="2" fillId="0" borderId="0" xfId="9" applyNumberFormat="1" applyFont="1" applyFill="1" applyProtection="1"/>
    <xf numFmtId="0" fontId="2" fillId="0" borderId="0" xfId="9" applyNumberFormat="1" applyFont="1" applyFill="1"/>
    <xf numFmtId="3" fontId="2" fillId="0" borderId="0" xfId="9" applyNumberFormat="1" applyFont="1" applyFill="1"/>
    <xf numFmtId="3" fontId="2" fillId="0" borderId="0" xfId="9" applyNumberFormat="1" applyFont="1" applyFill="1" applyProtection="1"/>
    <xf numFmtId="165" fontId="2" fillId="0" borderId="0" xfId="9" applyNumberFormat="1" applyFont="1" applyFill="1"/>
    <xf numFmtId="37" fontId="2" fillId="0" borderId="0" xfId="8" applyNumberFormat="1" applyFont="1" applyFill="1" applyBorder="1"/>
    <xf numFmtId="37" fontId="2" fillId="0" borderId="0" xfId="9" applyNumberFormat="1" applyFont="1" applyFill="1" applyBorder="1" applyProtection="1"/>
    <xf numFmtId="0" fontId="2" fillId="0" borderId="0" xfId="8" applyNumberFormat="1" applyFont="1" applyBorder="1" applyAlignment="1"/>
    <xf numFmtId="0" fontId="2" fillId="0" borderId="0" xfId="9" applyNumberFormat="1" applyFont="1" applyBorder="1"/>
    <xf numFmtId="0" fontId="2" fillId="0" borderId="0" xfId="9" applyNumberFormat="1" applyFont="1" applyBorder="1" applyAlignment="1"/>
    <xf numFmtId="0" fontId="2" fillId="0" borderId="0" xfId="9" applyNumberFormat="1" applyFont="1" applyFill="1" applyBorder="1" applyAlignment="1" applyProtection="1"/>
    <xf numFmtId="0" fontId="2" fillId="0" borderId="0" xfId="9" applyNumberFormat="1" applyFont="1" applyFill="1" applyBorder="1" applyAlignment="1"/>
    <xf numFmtId="3" fontId="2" fillId="0" borderId="0" xfId="9" applyNumberFormat="1" applyFont="1" applyAlignment="1" applyProtection="1"/>
    <xf numFmtId="3" fontId="2" fillId="0" borderId="0" xfId="9" applyNumberFormat="1" applyFont="1" applyBorder="1"/>
    <xf numFmtId="0" fontId="2" fillId="0" borderId="0" xfId="9" applyNumberFormat="1" applyFont="1" applyFill="1" applyBorder="1" applyProtection="1"/>
    <xf numFmtId="37" fontId="4" fillId="0" borderId="0" xfId="9" applyNumberFormat="1" applyFont="1"/>
    <xf numFmtId="37" fontId="4" fillId="0" borderId="0" xfId="9" applyNumberFormat="1" applyFont="1" applyBorder="1"/>
    <xf numFmtId="0" fontId="5" fillId="0" borderId="0" xfId="8" applyNumberFormat="1" applyFont="1"/>
    <xf numFmtId="0" fontId="5" fillId="0" borderId="0" xfId="9" applyNumberFormat="1" applyFont="1"/>
    <xf numFmtId="0" fontId="2" fillId="0" borderId="0" xfId="9" applyFont="1"/>
    <xf numFmtId="0" fontId="2" fillId="0" borderId="0" xfId="9" applyNumberFormat="1" applyFont="1"/>
    <xf numFmtId="0" fontId="2" fillId="0" borderId="0" xfId="8" applyNumberFormat="1" applyFont="1"/>
    <xf numFmtId="0" fontId="6" fillId="0" borderId="0" xfId="9" applyFont="1" applyBorder="1"/>
    <xf numFmtId="0" fontId="21" fillId="0" borderId="0" xfId="9" applyNumberFormat="1"/>
    <xf numFmtId="0" fontId="5" fillId="0" borderId="0" xfId="9" applyFont="1"/>
    <xf numFmtId="0" fontId="7" fillId="0" borderId="0" xfId="9" applyNumberFormat="1" applyFont="1" applyBorder="1"/>
    <xf numFmtId="0" fontId="6" fillId="0" borderId="0" xfId="9" applyNumberFormat="1" applyFont="1" applyBorder="1"/>
    <xf numFmtId="0" fontId="6" fillId="0" borderId="0" xfId="9" applyNumberFormat="1" applyFont="1"/>
    <xf numFmtId="0" fontId="3" fillId="0" borderId="0" xfId="9" applyFont="1"/>
    <xf numFmtId="0" fontId="3" fillId="0" borderId="0" xfId="9" applyFont="1" applyFill="1"/>
    <xf numFmtId="0" fontId="8" fillId="0" borderId="0" xfId="9" applyFont="1"/>
    <xf numFmtId="0" fontId="21" fillId="0" borderId="0" xfId="9"/>
    <xf numFmtId="0" fontId="2" fillId="0" borderId="0" xfId="9" applyFont="1" applyFill="1"/>
    <xf numFmtId="37" fontId="2" fillId="0" borderId="0" xfId="9" applyNumberFormat="1" applyFont="1" applyFill="1" applyProtection="1"/>
    <xf numFmtId="0" fontId="2" fillId="0" borderId="0" xfId="9" applyNumberFormat="1" applyFont="1" applyFill="1"/>
    <xf numFmtId="3" fontId="2" fillId="0" borderId="0" xfId="9" applyNumberFormat="1" applyFont="1" applyFill="1"/>
    <xf numFmtId="3" fontId="2" fillId="0" borderId="0" xfId="9" applyNumberFormat="1" applyFont="1" applyFill="1" applyProtection="1"/>
    <xf numFmtId="165" fontId="2" fillId="0" borderId="0" xfId="9" applyNumberFormat="1" applyFont="1" applyFill="1"/>
    <xf numFmtId="37" fontId="2" fillId="0" borderId="0" xfId="8" applyNumberFormat="1" applyFont="1" applyFill="1" applyBorder="1"/>
    <xf numFmtId="37" fontId="2" fillId="0" borderId="0" xfId="9" applyNumberFormat="1" applyFont="1" applyFill="1" applyBorder="1" applyProtection="1"/>
    <xf numFmtId="0" fontId="2" fillId="0" borderId="0" xfId="8" applyNumberFormat="1" applyFont="1" applyBorder="1" applyAlignment="1"/>
    <xf numFmtId="0" fontId="2" fillId="0" borderId="0" xfId="9" applyNumberFormat="1" applyFont="1" applyBorder="1"/>
    <xf numFmtId="0" fontId="2" fillId="0" borderId="0" xfId="9" applyNumberFormat="1" applyFont="1" applyBorder="1" applyAlignment="1"/>
    <xf numFmtId="0" fontId="2" fillId="0" borderId="0" xfId="9" applyNumberFormat="1" applyFont="1" applyFill="1" applyBorder="1" applyAlignment="1" applyProtection="1"/>
    <xf numFmtId="0" fontId="2" fillId="0" borderId="0" xfId="9" applyNumberFormat="1" applyFont="1" applyFill="1" applyBorder="1" applyAlignment="1"/>
    <xf numFmtId="3" fontId="2" fillId="0" borderId="0" xfId="9" applyNumberFormat="1" applyFont="1" applyAlignment="1" applyProtection="1"/>
    <xf numFmtId="3" fontId="2" fillId="0" borderId="0" xfId="9" applyNumberFormat="1" applyFont="1" applyBorder="1"/>
    <xf numFmtId="0" fontId="2" fillId="0" borderId="0" xfId="9" applyNumberFormat="1" applyFont="1" applyFill="1" applyBorder="1" applyProtection="1"/>
    <xf numFmtId="37" fontId="4" fillId="0" borderId="0" xfId="9" applyNumberFormat="1" applyFont="1"/>
    <xf numFmtId="37" fontId="4" fillId="0" borderId="0" xfId="9" applyNumberFormat="1" applyFont="1" applyBorder="1"/>
    <xf numFmtId="0" fontId="5" fillId="0" borderId="0" xfId="8" applyNumberFormat="1" applyFont="1"/>
    <xf numFmtId="0" fontId="5" fillId="0" borderId="0" xfId="9" applyNumberFormat="1" applyFont="1"/>
    <xf numFmtId="0" fontId="2" fillId="0" borderId="0" xfId="9" applyFont="1"/>
    <xf numFmtId="0" fontId="2" fillId="0" borderId="0" xfId="9" applyNumberFormat="1" applyFont="1"/>
    <xf numFmtId="0" fontId="2" fillId="0" borderId="0" xfId="8" applyNumberFormat="1" applyFont="1"/>
    <xf numFmtId="0" fontId="6" fillId="0" borderId="0" xfId="9" applyFont="1" applyBorder="1"/>
    <xf numFmtId="0" fontId="21" fillId="0" borderId="0" xfId="9" applyNumberFormat="1"/>
    <xf numFmtId="0" fontId="5" fillId="0" borderId="0" xfId="9" applyFont="1"/>
    <xf numFmtId="0" fontId="7" fillId="0" borderId="0" xfId="9" applyNumberFormat="1" applyFont="1" applyBorder="1"/>
    <xf numFmtId="0" fontId="6" fillId="0" borderId="0" xfId="9" applyNumberFormat="1" applyFont="1" applyBorder="1"/>
    <xf numFmtId="0" fontId="6" fillId="0" borderId="0" xfId="9" applyNumberFormat="1" applyFont="1"/>
    <xf numFmtId="0" fontId="3" fillId="0" borderId="0" xfId="9" applyFont="1"/>
    <xf numFmtId="0" fontId="3" fillId="0" borderId="0" xfId="9" applyFont="1" applyFill="1"/>
    <xf numFmtId="0" fontId="8" fillId="0" borderId="0" xfId="9" applyFont="1"/>
    <xf numFmtId="0" fontId="21" fillId="0" borderId="0" xfId="9"/>
    <xf numFmtId="0" fontId="2" fillId="0" borderId="0" xfId="9" applyFont="1" applyFill="1"/>
    <xf numFmtId="37" fontId="2" fillId="0" borderId="0" xfId="9" applyNumberFormat="1" applyFont="1" applyFill="1" applyProtection="1"/>
    <xf numFmtId="37" fontId="2" fillId="0" borderId="0" xfId="9" applyNumberFormat="1" applyFont="1" applyFill="1"/>
    <xf numFmtId="0" fontId="2" fillId="0" borderId="0" xfId="9" applyNumberFormat="1" applyFont="1" applyFill="1"/>
    <xf numFmtId="3" fontId="2" fillId="0" borderId="0" xfId="9" applyNumberFormat="1" applyFont="1" applyFill="1"/>
    <xf numFmtId="3" fontId="2" fillId="0" borderId="0" xfId="9" applyNumberFormat="1" applyFont="1" applyFill="1" applyProtection="1"/>
    <xf numFmtId="165" fontId="2" fillId="0" borderId="0" xfId="9" applyNumberFormat="1" applyFont="1" applyFill="1"/>
    <xf numFmtId="3" fontId="2" fillId="0" borderId="0" xfId="8" applyNumberFormat="1" applyFont="1" applyFill="1" applyBorder="1"/>
    <xf numFmtId="3" fontId="2" fillId="0" borderId="0" xfId="9" applyNumberFormat="1" applyFont="1" applyFill="1" applyBorder="1"/>
    <xf numFmtId="37" fontId="2" fillId="0" borderId="0" xfId="9" applyNumberFormat="1" applyFont="1" applyFill="1" applyBorder="1" applyProtection="1"/>
    <xf numFmtId="0" fontId="2" fillId="0" borderId="0" xfId="9" applyNumberFormat="1" applyFont="1" applyFill="1" applyProtection="1"/>
    <xf numFmtId="0" fontId="2" fillId="0" borderId="0" xfId="8" applyNumberFormat="1" applyFont="1" applyBorder="1" applyAlignment="1"/>
    <xf numFmtId="0" fontId="2" fillId="0" borderId="0" xfId="9" applyNumberFormat="1" applyFont="1" applyBorder="1"/>
    <xf numFmtId="0" fontId="2" fillId="0" borderId="0" xfId="9" applyNumberFormat="1" applyFont="1" applyBorder="1" applyAlignment="1"/>
    <xf numFmtId="0" fontId="2" fillId="0" borderId="0" xfId="9" applyNumberFormat="1" applyFont="1" applyFill="1" applyBorder="1" applyAlignment="1" applyProtection="1"/>
    <xf numFmtId="0" fontId="2" fillId="0" borderId="0" xfId="9" applyNumberFormat="1" applyFont="1" applyFill="1" applyBorder="1" applyAlignment="1"/>
    <xf numFmtId="3" fontId="2" fillId="0" borderId="0" xfId="9" applyNumberFormat="1" applyFont="1" applyBorder="1" applyAlignment="1" applyProtection="1"/>
    <xf numFmtId="3" fontId="2" fillId="0" borderId="0" xfId="9" applyNumberFormat="1" applyFont="1" applyBorder="1" applyAlignment="1"/>
    <xf numFmtId="3" fontId="2" fillId="0" borderId="0" xfId="9" applyNumberFormat="1" applyFont="1" applyBorder="1"/>
    <xf numFmtId="0" fontId="2" fillId="0" borderId="0" xfId="9" applyFont="1" applyBorder="1"/>
    <xf numFmtId="3" fontId="2" fillId="0" borderId="0" xfId="9" applyNumberFormat="1" applyFont="1"/>
    <xf numFmtId="37" fontId="4" fillId="0" borderId="0" xfId="9" applyNumberFormat="1" applyFont="1"/>
    <xf numFmtId="37" fontId="4" fillId="0" borderId="0" xfId="9" applyNumberFormat="1" applyFont="1" applyBorder="1"/>
    <xf numFmtId="0" fontId="5" fillId="0" borderId="0" xfId="8" applyNumberFormat="1" applyFont="1"/>
    <xf numFmtId="0" fontId="5" fillId="0" borderId="0" xfId="9" applyNumberFormat="1" applyFont="1"/>
    <xf numFmtId="0" fontId="2" fillId="0" borderId="0" xfId="9" applyFont="1"/>
    <xf numFmtId="0" fontId="2" fillId="0" borderId="0" xfId="9" applyNumberFormat="1" applyFont="1"/>
    <xf numFmtId="0" fontId="6" fillId="0" borderId="0" xfId="9" applyFont="1" applyBorder="1"/>
    <xf numFmtId="0" fontId="21" fillId="0" borderId="0" xfId="9" applyNumberFormat="1"/>
    <xf numFmtId="0" fontId="5" fillId="0" borderId="0" xfId="9" applyFont="1"/>
    <xf numFmtId="0" fontId="7" fillId="0" borderId="0" xfId="9" applyNumberFormat="1" applyFont="1" applyBorder="1"/>
    <xf numFmtId="0" fontId="6" fillId="0" borderId="0" xfId="9" applyNumberFormat="1" applyFont="1" applyBorder="1"/>
    <xf numFmtId="0" fontId="3" fillId="0" borderId="0" xfId="9" applyFont="1"/>
    <xf numFmtId="0" fontId="3" fillId="0" borderId="0" xfId="9" applyFont="1" applyFill="1"/>
    <xf numFmtId="0" fontId="8" fillId="0" borderId="0" xfId="9" applyFont="1"/>
    <xf numFmtId="0" fontId="21" fillId="0" borderId="0" xfId="9"/>
    <xf numFmtId="0" fontId="2" fillId="0" borderId="0" xfId="9" applyFont="1" applyFill="1"/>
    <xf numFmtId="37" fontId="2" fillId="0" borderId="0" xfId="9" applyNumberFormat="1" applyFont="1" applyFill="1" applyProtection="1"/>
    <xf numFmtId="37" fontId="2" fillId="0" borderId="0" xfId="9" applyNumberFormat="1" applyFont="1" applyFill="1"/>
    <xf numFmtId="0" fontId="2" fillId="0" borderId="0" xfId="9" applyNumberFormat="1" applyFont="1" applyFill="1"/>
    <xf numFmtId="3" fontId="2" fillId="0" borderId="0" xfId="9" applyNumberFormat="1" applyFont="1" applyFill="1"/>
    <xf numFmtId="3" fontId="2" fillId="0" borderId="0" xfId="9" applyNumberFormat="1" applyFont="1" applyFill="1" applyProtection="1"/>
    <xf numFmtId="165" fontId="2" fillId="0" borderId="0" xfId="9" applyNumberFormat="1" applyFont="1" applyFill="1"/>
    <xf numFmtId="3" fontId="2" fillId="0" borderId="0" xfId="8" applyNumberFormat="1" applyFont="1" applyFill="1" applyBorder="1"/>
    <xf numFmtId="3" fontId="2" fillId="0" borderId="0" xfId="9" applyNumberFormat="1" applyFont="1" applyFill="1" applyBorder="1"/>
    <xf numFmtId="37" fontId="2" fillId="0" borderId="0" xfId="9" applyNumberFormat="1" applyFont="1" applyFill="1" applyBorder="1" applyProtection="1"/>
    <xf numFmtId="0" fontId="2" fillId="0" borderId="0" xfId="9" applyNumberFormat="1" applyFont="1" applyFill="1" applyProtection="1"/>
    <xf numFmtId="0" fontId="2" fillId="0" borderId="0" xfId="8" applyNumberFormat="1" applyFont="1" applyBorder="1" applyAlignment="1"/>
    <xf numFmtId="0" fontId="2" fillId="0" borderId="0" xfId="9" applyNumberFormat="1" applyFont="1" applyBorder="1"/>
    <xf numFmtId="0" fontId="2" fillId="0" borderId="0" xfId="9" applyNumberFormat="1" applyFont="1" applyBorder="1" applyAlignment="1"/>
    <xf numFmtId="0" fontId="2" fillId="0" borderId="0" xfId="9" applyNumberFormat="1" applyFont="1" applyFill="1" applyBorder="1" applyAlignment="1" applyProtection="1"/>
    <xf numFmtId="0" fontId="2" fillId="0" borderId="0" xfId="9" applyNumberFormat="1" applyFont="1" applyFill="1" applyBorder="1" applyAlignment="1"/>
    <xf numFmtId="3" fontId="2" fillId="0" borderId="0" xfId="9" applyNumberFormat="1" applyFont="1" applyBorder="1" applyAlignment="1" applyProtection="1"/>
    <xf numFmtId="3" fontId="2" fillId="0" borderId="0" xfId="9" applyNumberFormat="1" applyFont="1" applyBorder="1" applyAlignment="1"/>
    <xf numFmtId="3" fontId="2" fillId="0" borderId="0" xfId="9" applyNumberFormat="1" applyFont="1" applyBorder="1"/>
    <xf numFmtId="0" fontId="2" fillId="0" borderId="0" xfId="9" applyFont="1" applyBorder="1"/>
    <xf numFmtId="3" fontId="2" fillId="0" borderId="0" xfId="9" applyNumberFormat="1" applyFont="1"/>
    <xf numFmtId="37" fontId="4" fillId="0" borderId="0" xfId="9" applyNumberFormat="1" applyFont="1"/>
    <xf numFmtId="37" fontId="4" fillId="0" borderId="0" xfId="9" applyNumberFormat="1" applyFont="1" applyBorder="1"/>
    <xf numFmtId="0" fontId="5" fillId="0" borderId="0" xfId="8" applyNumberFormat="1" applyFont="1"/>
    <xf numFmtId="0" fontId="5" fillId="0" borderId="0" xfId="9" applyNumberFormat="1" applyFont="1"/>
    <xf numFmtId="0" fontId="2" fillId="0" borderId="0" xfId="9" applyFont="1"/>
    <xf numFmtId="0" fontId="2" fillId="0" borderId="0" xfId="9" applyNumberFormat="1" applyFont="1"/>
    <xf numFmtId="0" fontId="6" fillId="0" borderId="0" xfId="9" applyFont="1"/>
    <xf numFmtId="0" fontId="6" fillId="0" borderId="0" xfId="9" applyFont="1" applyBorder="1"/>
    <xf numFmtId="0" fontId="21" fillId="0" borderId="0" xfId="9" applyNumberFormat="1"/>
    <xf numFmtId="37" fontId="5" fillId="0" borderId="0" xfId="9" applyNumberFormat="1" applyFont="1" applyFill="1" applyBorder="1"/>
    <xf numFmtId="0" fontId="5" fillId="0" borderId="0" xfId="9" applyFont="1"/>
    <xf numFmtId="0" fontId="7" fillId="0" borderId="0" xfId="9" applyNumberFormat="1" applyFont="1" applyBorder="1"/>
    <xf numFmtId="0" fontId="6" fillId="0" borderId="0" xfId="9" applyNumberFormat="1" applyFont="1" applyBorder="1"/>
    <xf numFmtId="0" fontId="3" fillId="0" borderId="0" xfId="9" applyFont="1"/>
    <xf numFmtId="0" fontId="3" fillId="0" borderId="0" xfId="9" applyFont="1" applyFill="1"/>
    <xf numFmtId="0" fontId="8" fillId="0" borderId="0" xfId="9" applyFont="1"/>
    <xf numFmtId="0" fontId="21" fillId="0" borderId="0" xfId="9"/>
    <xf numFmtId="0" fontId="2" fillId="0" borderId="0" xfId="9" applyFont="1" applyFill="1"/>
    <xf numFmtId="37" fontId="2" fillId="0" borderId="0" xfId="9" applyNumberFormat="1" applyFont="1" applyFill="1" applyProtection="1"/>
    <xf numFmtId="37" fontId="2" fillId="0" borderId="0" xfId="9" applyNumberFormat="1" applyFont="1" applyFill="1"/>
    <xf numFmtId="0" fontId="2" fillId="0" borderId="0" xfId="9" applyNumberFormat="1" applyFont="1" applyFill="1"/>
    <xf numFmtId="3" fontId="2" fillId="0" borderId="0" xfId="9" applyNumberFormat="1" applyFont="1" applyFill="1"/>
    <xf numFmtId="3" fontId="2" fillId="0" borderId="0" xfId="9" applyNumberFormat="1" applyFont="1" applyFill="1" applyProtection="1"/>
    <xf numFmtId="165" fontId="2" fillId="0" borderId="0" xfId="9" applyNumberFormat="1" applyFont="1" applyFill="1"/>
    <xf numFmtId="3" fontId="2" fillId="0" borderId="0" xfId="9" applyNumberFormat="1" applyFont="1" applyFill="1" applyBorder="1"/>
    <xf numFmtId="37" fontId="2" fillId="0" borderId="0" xfId="9" applyNumberFormat="1" applyFont="1" applyFill="1" applyBorder="1" applyProtection="1"/>
    <xf numFmtId="0" fontId="2" fillId="0" borderId="0" xfId="9" applyNumberFormat="1" applyFont="1" applyFill="1" applyProtection="1"/>
    <xf numFmtId="0" fontId="2" fillId="0" borderId="0" xfId="8" applyNumberFormat="1" applyFont="1" applyBorder="1" applyAlignment="1"/>
    <xf numFmtId="0" fontId="2" fillId="0" borderId="0" xfId="9" applyNumberFormat="1" applyFont="1" applyBorder="1"/>
    <xf numFmtId="0" fontId="2" fillId="0" borderId="0" xfId="9" applyNumberFormat="1" applyFont="1" applyBorder="1" applyAlignment="1"/>
    <xf numFmtId="0" fontId="2" fillId="0" borderId="0" xfId="9" applyNumberFormat="1" applyFont="1" applyFill="1" applyBorder="1" applyAlignment="1" applyProtection="1"/>
    <xf numFmtId="0" fontId="2" fillId="0" borderId="0" xfId="9" applyNumberFormat="1" applyFont="1" applyFill="1" applyBorder="1" applyAlignment="1"/>
    <xf numFmtId="3" fontId="2" fillId="0" borderId="0" xfId="9" applyNumberFormat="1" applyFont="1" applyBorder="1" applyAlignment="1" applyProtection="1"/>
    <xf numFmtId="3" fontId="2" fillId="0" borderId="0" xfId="9" applyNumberFormat="1" applyFont="1" applyBorder="1" applyAlignment="1"/>
    <xf numFmtId="3" fontId="2" fillId="0" borderId="0" xfId="9" applyNumberFormat="1" applyFont="1" applyBorder="1"/>
    <xf numFmtId="0" fontId="2" fillId="0" borderId="0" xfId="9" applyFont="1" applyBorder="1"/>
    <xf numFmtId="3" fontId="2" fillId="0" borderId="0" xfId="9" applyNumberFormat="1" applyFont="1"/>
    <xf numFmtId="37" fontId="4" fillId="0" borderId="0" xfId="9" applyNumberFormat="1" applyFont="1"/>
    <xf numFmtId="37" fontId="4" fillId="0" borderId="0" xfId="9" applyNumberFormat="1" applyFont="1" applyBorder="1"/>
    <xf numFmtId="0" fontId="5" fillId="0" borderId="0" xfId="8" applyNumberFormat="1" applyFont="1"/>
    <xf numFmtId="0" fontId="5" fillId="0" borderId="0" xfId="9" applyNumberFormat="1" applyFont="1"/>
    <xf numFmtId="0" fontId="2" fillId="0" borderId="0" xfId="9" applyFont="1"/>
    <xf numFmtId="0" fontId="2" fillId="0" borderId="0" xfId="9" applyNumberFormat="1" applyFont="1"/>
    <xf numFmtId="0" fontId="6" fillId="0" borderId="0" xfId="9" applyFont="1"/>
    <xf numFmtId="0" fontId="6" fillId="0" borderId="0" xfId="9" applyFont="1" applyBorder="1"/>
    <xf numFmtId="0" fontId="21" fillId="0" borderId="0" xfId="9" applyNumberFormat="1"/>
    <xf numFmtId="37" fontId="5" fillId="0" borderId="0" xfId="9" applyNumberFormat="1" applyFont="1" applyFill="1" applyBorder="1"/>
    <xf numFmtId="0" fontId="5" fillId="0" borderId="0" xfId="9" applyFont="1"/>
    <xf numFmtId="0" fontId="7" fillId="0" borderId="0" xfId="9" applyNumberFormat="1" applyFont="1" applyBorder="1"/>
    <xf numFmtId="0" fontId="6" fillId="0" borderId="0" xfId="9" applyNumberFormat="1" applyFont="1" applyBorder="1"/>
    <xf numFmtId="0" fontId="3" fillId="0" borderId="0" xfId="9" applyFont="1"/>
    <xf numFmtId="0" fontId="3" fillId="0" borderId="0" xfId="9" applyFont="1" applyFill="1"/>
    <xf numFmtId="0" fontId="8" fillId="0" borderId="0" xfId="9" applyFont="1"/>
    <xf numFmtId="0" fontId="21" fillId="0" borderId="0" xfId="9"/>
    <xf numFmtId="0" fontId="2" fillId="0" borderId="0" xfId="9" applyFont="1" applyFill="1"/>
    <xf numFmtId="37" fontId="2" fillId="0" borderId="0" xfId="9" applyNumberFormat="1" applyFont="1" applyFill="1" applyProtection="1"/>
    <xf numFmtId="37" fontId="2" fillId="0" borderId="0" xfId="9" applyNumberFormat="1" applyFont="1" applyFill="1"/>
    <xf numFmtId="0" fontId="2" fillId="0" borderId="0" xfId="9" applyNumberFormat="1" applyFont="1" applyFill="1"/>
    <xf numFmtId="3" fontId="2" fillId="0" borderId="0" xfId="9" applyNumberFormat="1" applyFont="1" applyFill="1"/>
    <xf numFmtId="3" fontId="2" fillId="0" borderId="0" xfId="9" applyNumberFormat="1" applyFont="1" applyFill="1" applyProtection="1"/>
    <xf numFmtId="165" fontId="2" fillId="0" borderId="0" xfId="9" applyNumberFormat="1" applyFont="1" applyFill="1"/>
    <xf numFmtId="3" fontId="2" fillId="0" borderId="0" xfId="9" applyNumberFormat="1" applyFont="1" applyFill="1" applyBorder="1"/>
    <xf numFmtId="37" fontId="2" fillId="0" borderId="0" xfId="9" applyNumberFormat="1" applyFont="1" applyFill="1" applyBorder="1" applyProtection="1"/>
    <xf numFmtId="37" fontId="2" fillId="0" borderId="0" xfId="9" applyNumberFormat="1" applyFont="1" applyFill="1" applyBorder="1"/>
    <xf numFmtId="0" fontId="2" fillId="0" borderId="0" xfId="8" applyNumberFormat="1" applyFont="1" applyBorder="1" applyAlignment="1"/>
    <xf numFmtId="0" fontId="2" fillId="0" borderId="0" xfId="9" applyNumberFormat="1" applyFont="1" applyBorder="1"/>
    <xf numFmtId="0" fontId="2" fillId="0" borderId="0" xfId="9" applyNumberFormat="1" applyFont="1" applyBorder="1" applyAlignment="1"/>
    <xf numFmtId="0" fontId="2" fillId="0" borderId="0" xfId="9" applyNumberFormat="1" applyFont="1" applyFill="1" applyBorder="1" applyAlignment="1" applyProtection="1"/>
    <xf numFmtId="0" fontId="2" fillId="0" borderId="0" xfId="9" applyNumberFormat="1" applyFont="1" applyFill="1" applyBorder="1" applyAlignment="1"/>
    <xf numFmtId="3" fontId="2" fillId="0" borderId="0" xfId="9" applyNumberFormat="1" applyFont="1" applyBorder="1" applyAlignment="1" applyProtection="1"/>
    <xf numFmtId="3" fontId="2" fillId="0" borderId="0" xfId="9" applyNumberFormat="1" applyFont="1" applyBorder="1" applyAlignment="1"/>
    <xf numFmtId="0" fontId="2" fillId="0" borderId="0" xfId="9" applyNumberFormat="1" applyFont="1" applyFill="1" applyBorder="1"/>
    <xf numFmtId="37" fontId="4" fillId="0" borderId="0" xfId="9" applyNumberFormat="1" applyFont="1"/>
    <xf numFmtId="37" fontId="4" fillId="0" borderId="0" xfId="9" applyNumberFormat="1" applyFont="1" applyBorder="1"/>
    <xf numFmtId="0" fontId="5" fillId="0" borderId="0" xfId="8" applyNumberFormat="1" applyFont="1"/>
    <xf numFmtId="0" fontId="5" fillId="0" borderId="0" xfId="9" applyNumberFormat="1" applyFont="1"/>
    <xf numFmtId="0" fontId="2" fillId="0" borderId="0" xfId="9" applyFont="1"/>
    <xf numFmtId="0" fontId="2" fillId="0" borderId="0" xfId="9" applyNumberFormat="1" applyFont="1"/>
    <xf numFmtId="0" fontId="2" fillId="0" borderId="0" xfId="8" applyNumberFormat="1" applyFont="1"/>
    <xf numFmtId="169" fontId="6" fillId="0" borderId="0" xfId="9" applyNumberFormat="1" applyFont="1" applyBorder="1"/>
    <xf numFmtId="0" fontId="21" fillId="0" borderId="0" xfId="9" applyNumberFormat="1"/>
    <xf numFmtId="0" fontId="5" fillId="0" borderId="0" xfId="9" applyFont="1"/>
    <xf numFmtId="0" fontId="7" fillId="0" borderId="0" xfId="9" applyNumberFormat="1" applyFont="1" applyBorder="1"/>
    <xf numFmtId="0" fontId="6" fillId="0" borderId="0" xfId="9" applyNumberFormat="1" applyFont="1" applyBorder="1"/>
    <xf numFmtId="0" fontId="6" fillId="0" borderId="0" xfId="9" applyNumberFormat="1" applyFont="1"/>
    <xf numFmtId="0" fontId="3" fillId="0" borderId="0" xfId="9" applyFont="1"/>
    <xf numFmtId="0" fontId="3" fillId="0" borderId="0" xfId="9" applyFont="1" applyFill="1"/>
    <xf numFmtId="0" fontId="8" fillId="0" borderId="0" xfId="9" applyFont="1"/>
    <xf numFmtId="0" fontId="21" fillId="0" borderId="0" xfId="9"/>
    <xf numFmtId="0" fontId="2" fillId="0" borderId="0" xfId="9" applyFont="1" applyFill="1"/>
    <xf numFmtId="37" fontId="2" fillId="0" borderId="0" xfId="9" applyNumberFormat="1" applyFont="1" applyFill="1" applyProtection="1"/>
    <xf numFmtId="37" fontId="2" fillId="0" borderId="0" xfId="9" applyNumberFormat="1" applyFont="1" applyFill="1"/>
    <xf numFmtId="0" fontId="2" fillId="0" borderId="0" xfId="9" applyNumberFormat="1" applyFont="1" applyFill="1"/>
    <xf numFmtId="3" fontId="2" fillId="0" borderId="0" xfId="9" applyNumberFormat="1" applyFont="1" applyFill="1"/>
    <xf numFmtId="3" fontId="2" fillId="0" borderId="0" xfId="9" applyNumberFormat="1" applyFont="1" applyFill="1" applyProtection="1"/>
    <xf numFmtId="165" fontId="2" fillId="0" borderId="0" xfId="9" applyNumberFormat="1" applyFont="1" applyFill="1"/>
    <xf numFmtId="3" fontId="2" fillId="0" borderId="0" xfId="9" applyNumberFormat="1" applyFont="1" applyFill="1" applyBorder="1"/>
    <xf numFmtId="37" fontId="2" fillId="0" borderId="0" xfId="9" applyNumberFormat="1" applyFont="1" applyFill="1" applyBorder="1" applyProtection="1"/>
    <xf numFmtId="37" fontId="2" fillId="0" borderId="0" xfId="9" applyNumberFormat="1" applyFont="1" applyFill="1" applyBorder="1"/>
    <xf numFmtId="0" fontId="2" fillId="0" borderId="0" xfId="8" applyNumberFormat="1" applyFont="1" applyBorder="1" applyAlignment="1"/>
    <xf numFmtId="0" fontId="2" fillId="0" borderId="0" xfId="9" applyNumberFormat="1" applyFont="1" applyBorder="1"/>
    <xf numFmtId="0" fontId="2" fillId="0" borderId="0" xfId="9" applyNumberFormat="1" applyFont="1" applyBorder="1" applyAlignment="1"/>
    <xf numFmtId="0" fontId="2" fillId="0" borderId="0" xfId="9" applyNumberFormat="1" applyFont="1" applyFill="1" applyBorder="1" applyAlignment="1" applyProtection="1"/>
    <xf numFmtId="0" fontId="2" fillId="0" borderId="0" xfId="9" applyNumberFormat="1" applyFont="1" applyFill="1" applyBorder="1" applyAlignment="1"/>
    <xf numFmtId="3" fontId="2" fillId="0" borderId="0" xfId="9" applyNumberFormat="1" applyFont="1" applyAlignment="1" applyProtection="1"/>
    <xf numFmtId="3" fontId="2" fillId="0" borderId="0" xfId="9" applyNumberFormat="1" applyFont="1" applyBorder="1" applyAlignment="1"/>
    <xf numFmtId="0" fontId="2" fillId="0" borderId="0" xfId="9" applyNumberFormat="1" applyFont="1" applyFill="1" applyBorder="1"/>
    <xf numFmtId="37" fontId="4" fillId="0" borderId="0" xfId="9" applyNumberFormat="1" applyFont="1"/>
    <xf numFmtId="37" fontId="4" fillId="0" borderId="0" xfId="9" applyNumberFormat="1" applyFont="1" applyBorder="1"/>
    <xf numFmtId="0" fontId="5" fillId="0" borderId="0" xfId="8" applyNumberFormat="1" applyFont="1"/>
    <xf numFmtId="0" fontId="5" fillId="0" borderId="0" xfId="9" applyNumberFormat="1" applyFont="1"/>
    <xf numFmtId="0" fontId="2" fillId="0" borderId="0" xfId="9" applyFont="1"/>
    <xf numFmtId="0" fontId="2" fillId="0" borderId="0" xfId="9" applyNumberFormat="1" applyFont="1"/>
    <xf numFmtId="0" fontId="2" fillId="0" borderId="0" xfId="8" applyNumberFormat="1" applyFont="1"/>
    <xf numFmtId="0" fontId="6" fillId="0" borderId="0" xfId="9" applyFont="1" applyBorder="1"/>
    <xf numFmtId="0" fontId="21" fillId="0" borderId="0" xfId="9" applyNumberFormat="1"/>
    <xf numFmtId="0" fontId="5" fillId="0" borderId="0" xfId="9" applyFont="1"/>
    <xf numFmtId="0" fontId="7" fillId="0" borderId="0" xfId="9" applyNumberFormat="1" applyFont="1" applyBorder="1"/>
    <xf numFmtId="0" fontId="6" fillId="0" borderId="0" xfId="9" applyNumberFormat="1" applyFont="1" applyBorder="1"/>
    <xf numFmtId="0" fontId="6" fillId="0" borderId="0" xfId="9" applyNumberFormat="1" applyFont="1"/>
    <xf numFmtId="0" fontId="3" fillId="0" borderId="0" xfId="9" applyFont="1"/>
    <xf numFmtId="0" fontId="3" fillId="0" borderId="0" xfId="9" applyFont="1" applyFill="1"/>
    <xf numFmtId="0" fontId="8" fillId="0" borderId="0" xfId="9" applyFont="1"/>
  </cellXfs>
  <cellStyles count="17">
    <cellStyle name="Comma" xfId="1" builtinId="3"/>
    <cellStyle name="Comma 2" xfId="4" xr:uid="{00000000-0005-0000-0000-000030000000}"/>
    <cellStyle name="Comma 2 2" xfId="12" xr:uid="{00000000-0005-0000-0000-000034000000}"/>
    <cellStyle name="Comma 3" xfId="13" xr:uid="{00000000-0005-0000-0000-000035000000}"/>
    <cellStyle name="Comma 4" xfId="11" xr:uid="{00000000-0005-0000-0000-000032000000}"/>
    <cellStyle name="Comma 5" xfId="8" xr:uid="{00000000-0005-0000-0000-000035000000}"/>
    <cellStyle name="Normal" xfId="0" builtinId="0"/>
    <cellStyle name="Normal 2" xfId="3" xr:uid="{00000000-0005-0000-0000-000031000000}"/>
    <cellStyle name="Normal 2 2" xfId="7" xr:uid="{00000000-0005-0000-0000-000002000000}"/>
    <cellStyle name="Normal 3" xfId="10" xr:uid="{00000000-0005-0000-0000-000036000000}"/>
    <cellStyle name="Normal 4" xfId="9" xr:uid="{00000000-0005-0000-0000-000039000000}"/>
    <cellStyle name="Normal_Precip" xfId="2" xr:uid="{11151E6D-27B7-48B0-93B0-C3F7358F4F27}"/>
    <cellStyle name="Percent 2" xfId="5" xr:uid="{00000000-0005-0000-0000-000034000000}"/>
    <cellStyle name="Percent 2 2" xfId="15" xr:uid="{00000000-0005-0000-0000-00003A000000}"/>
    <cellStyle name="Percent 3" xfId="16" xr:uid="{00000000-0005-0000-0000-00003B000000}"/>
    <cellStyle name="Percent 4" xfId="14" xr:uid="{00000000-0005-0000-0000-000038000000}"/>
    <cellStyle name="Percent 5" xfId="6" xr:uid="{00000000-0005-0000-0000-00003C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232D-9A9C-46F8-B042-1D5E1C90979E}">
  <dimension ref="A1:R418"/>
  <sheetViews>
    <sheetView topLeftCell="D1" zoomScale="145" zoomScaleNormal="145" workbookViewId="0">
      <selection activeCell="K5" sqref="K5"/>
    </sheetView>
  </sheetViews>
  <sheetFormatPr defaultRowHeight="14.5" x14ac:dyDescent="0.35"/>
  <cols>
    <col min="1" max="4" width="9.81640625" style="109" customWidth="1"/>
    <col min="5" max="5" width="9.90625" bestFit="1" customWidth="1"/>
    <col min="6" max="6" width="9.81640625" bestFit="1" customWidth="1"/>
    <col min="7" max="7" width="8" bestFit="1" customWidth="1"/>
    <col min="8" max="8" width="9.81640625" bestFit="1" customWidth="1"/>
    <col min="9" max="11" width="9.81640625" customWidth="1"/>
    <col min="12" max="12" width="8.1796875" bestFit="1" customWidth="1"/>
    <col min="13" max="14" width="8.1796875" customWidth="1"/>
    <col min="15" max="15" width="8.1796875" bestFit="1" customWidth="1"/>
    <col min="16" max="16" width="7.1796875" bestFit="1" customWidth="1"/>
    <col min="17" max="18" width="8.1796875" bestFit="1" customWidth="1"/>
  </cols>
  <sheetData>
    <row r="1" spans="1:18" s="108" customFormat="1" x14ac:dyDescent="0.35">
      <c r="A1" s="108" t="s">
        <v>1</v>
      </c>
      <c r="B1" s="108" t="s">
        <v>56</v>
      </c>
      <c r="C1" s="108" t="s">
        <v>57</v>
      </c>
      <c r="D1" s="108" t="s">
        <v>16</v>
      </c>
      <c r="E1" s="108" t="s">
        <v>17</v>
      </c>
      <c r="F1" s="108" t="s">
        <v>18</v>
      </c>
      <c r="G1" s="108" t="s">
        <v>19</v>
      </c>
      <c r="H1" s="108" t="s">
        <v>20</v>
      </c>
      <c r="I1" s="108" t="s">
        <v>58</v>
      </c>
      <c r="J1" s="108" t="s">
        <v>59</v>
      </c>
      <c r="K1" s="108" t="s">
        <v>60</v>
      </c>
      <c r="L1" s="108" t="s">
        <v>21</v>
      </c>
      <c r="M1" s="108" t="s">
        <v>61</v>
      </c>
      <c r="N1" s="108" t="s">
        <v>62</v>
      </c>
      <c r="O1" s="108" t="s">
        <v>22</v>
      </c>
      <c r="P1" s="108" t="s">
        <v>23</v>
      </c>
      <c r="Q1" s="108" t="s">
        <v>24</v>
      </c>
      <c r="R1" s="108" t="s">
        <v>25</v>
      </c>
    </row>
    <row r="2" spans="1:18" x14ac:dyDescent="0.35">
      <c r="A2" s="120">
        <v>32282</v>
      </c>
      <c r="B2" s="184">
        <v>28400</v>
      </c>
      <c r="C2" s="217">
        <v>231000</v>
      </c>
      <c r="D2" s="1">
        <v>429000</v>
      </c>
      <c r="E2" s="1">
        <v>362000</v>
      </c>
      <c r="F2" s="1">
        <v>386000</v>
      </c>
      <c r="G2" s="2">
        <v>669000</v>
      </c>
      <c r="H2" s="1">
        <v>3882000</v>
      </c>
      <c r="I2" s="250">
        <v>0</v>
      </c>
      <c r="J2" s="286"/>
      <c r="K2" s="324"/>
      <c r="L2" s="3"/>
      <c r="M2" s="359"/>
      <c r="N2" s="394"/>
      <c r="O2" s="3"/>
      <c r="P2" s="3"/>
      <c r="Q2" s="3"/>
      <c r="R2" s="3"/>
    </row>
    <row r="3" spans="1:18" x14ac:dyDescent="0.35">
      <c r="A3" s="120">
        <v>32295</v>
      </c>
      <c r="B3" s="184">
        <v>13900</v>
      </c>
      <c r="C3" s="217">
        <v>411000</v>
      </c>
      <c r="D3" s="1">
        <v>672000</v>
      </c>
      <c r="E3" s="1">
        <v>689000</v>
      </c>
      <c r="F3" s="1">
        <v>619000</v>
      </c>
      <c r="G3" s="2">
        <v>2008000</v>
      </c>
      <c r="H3" s="1">
        <v>714000</v>
      </c>
      <c r="I3" s="250">
        <v>0</v>
      </c>
      <c r="J3" s="286"/>
      <c r="K3" s="324"/>
      <c r="L3" s="3"/>
      <c r="M3" s="359"/>
      <c r="N3" s="394"/>
      <c r="O3" s="3"/>
      <c r="P3" s="3"/>
      <c r="Q3" s="3"/>
      <c r="R3" s="3"/>
    </row>
    <row r="4" spans="1:18" x14ac:dyDescent="0.35">
      <c r="A4" s="120">
        <v>32325</v>
      </c>
      <c r="B4" s="184">
        <v>17178</v>
      </c>
      <c r="C4" s="217">
        <v>186950</v>
      </c>
      <c r="D4" s="1">
        <v>425120</v>
      </c>
      <c r="E4" s="1">
        <v>286420</v>
      </c>
      <c r="F4" s="1">
        <v>396410</v>
      </c>
      <c r="G4" s="2">
        <v>919790</v>
      </c>
      <c r="H4" s="1">
        <v>728540</v>
      </c>
      <c r="I4" s="250">
        <v>0</v>
      </c>
      <c r="J4" s="286"/>
      <c r="K4" s="324"/>
      <c r="L4" s="3"/>
      <c r="M4" s="359"/>
      <c r="N4" s="394"/>
      <c r="O4" s="3"/>
      <c r="P4" s="3"/>
      <c r="Q4" s="3"/>
      <c r="R4" s="3"/>
    </row>
    <row r="5" spans="1:18" x14ac:dyDescent="0.35">
      <c r="A5" s="120">
        <v>32356</v>
      </c>
      <c r="B5" s="184">
        <v>5050</v>
      </c>
      <c r="C5" s="217">
        <v>208010</v>
      </c>
      <c r="D5" s="1">
        <v>394940</v>
      </c>
      <c r="E5" s="1">
        <v>604750</v>
      </c>
      <c r="F5" s="1">
        <v>479970</v>
      </c>
      <c r="G5" s="2">
        <v>836920</v>
      </c>
      <c r="H5" s="1">
        <v>162480</v>
      </c>
      <c r="I5" s="250">
        <v>36174</v>
      </c>
      <c r="J5" s="286"/>
      <c r="K5" s="324"/>
      <c r="L5" s="3"/>
      <c r="M5" s="359"/>
      <c r="N5" s="394"/>
      <c r="O5" s="3"/>
      <c r="P5" s="3"/>
      <c r="Q5" s="3"/>
      <c r="R5" s="3"/>
    </row>
    <row r="6" spans="1:18" x14ac:dyDescent="0.35">
      <c r="A6" s="120">
        <v>32387</v>
      </c>
      <c r="B6" s="184">
        <v>18066</v>
      </c>
      <c r="C6" s="217">
        <v>649080</v>
      </c>
      <c r="D6" s="1">
        <v>787890</v>
      </c>
      <c r="E6" s="1">
        <v>824130</v>
      </c>
      <c r="F6" s="1">
        <v>814370</v>
      </c>
      <c r="G6" s="2">
        <v>1709890</v>
      </c>
      <c r="H6" s="1">
        <v>636310</v>
      </c>
      <c r="I6" s="250">
        <v>195385</v>
      </c>
      <c r="J6" s="286"/>
      <c r="K6" s="324"/>
      <c r="L6" s="3"/>
      <c r="M6" s="359"/>
      <c r="N6" s="394"/>
      <c r="O6" s="3"/>
      <c r="P6" s="3"/>
      <c r="Q6" s="3"/>
      <c r="R6" s="3"/>
    </row>
    <row r="7" spans="1:18" x14ac:dyDescent="0.35">
      <c r="A7" s="120">
        <v>32417</v>
      </c>
      <c r="B7" s="184">
        <v>28965</v>
      </c>
      <c r="C7" s="217">
        <v>558470</v>
      </c>
      <c r="D7" s="1">
        <v>476090</v>
      </c>
      <c r="E7" s="1">
        <v>366710</v>
      </c>
      <c r="F7" s="1">
        <v>539430</v>
      </c>
      <c r="G7" s="2">
        <v>1040510</v>
      </c>
      <c r="H7" s="1">
        <v>286170</v>
      </c>
      <c r="I7" s="250">
        <v>96143</v>
      </c>
      <c r="J7" s="286">
        <v>0</v>
      </c>
      <c r="K7" s="324">
        <v>0</v>
      </c>
      <c r="L7" s="3"/>
      <c r="M7" s="359"/>
      <c r="N7" s="394"/>
      <c r="O7" s="3"/>
      <c r="P7" s="3"/>
      <c r="Q7" s="3"/>
      <c r="R7" s="3"/>
    </row>
    <row r="8" spans="1:18" x14ac:dyDescent="0.35">
      <c r="A8" s="120">
        <v>32448</v>
      </c>
      <c r="B8" s="184">
        <v>9784</v>
      </c>
      <c r="C8" s="217">
        <v>370180</v>
      </c>
      <c r="D8" s="1">
        <v>295490</v>
      </c>
      <c r="E8" s="1">
        <v>860470</v>
      </c>
      <c r="F8" s="1">
        <v>148550</v>
      </c>
      <c r="G8" s="2">
        <v>545620</v>
      </c>
      <c r="H8" s="1">
        <v>329850</v>
      </c>
      <c r="I8" s="250">
        <v>23715</v>
      </c>
      <c r="J8" s="286">
        <v>7075</v>
      </c>
      <c r="K8" s="324">
        <v>18551</v>
      </c>
      <c r="L8" s="3"/>
      <c r="M8" s="359"/>
      <c r="N8" s="394"/>
      <c r="O8" s="3"/>
      <c r="P8" s="3"/>
      <c r="Q8" s="3"/>
      <c r="R8" s="3"/>
    </row>
    <row r="9" spans="1:18" x14ac:dyDescent="0.35">
      <c r="A9" s="120">
        <v>32478</v>
      </c>
      <c r="B9" s="184">
        <v>4099</v>
      </c>
      <c r="C9" s="217">
        <v>1290890</v>
      </c>
      <c r="D9" s="1">
        <v>498420</v>
      </c>
      <c r="E9" s="1">
        <v>139240</v>
      </c>
      <c r="F9" s="1">
        <v>267690</v>
      </c>
      <c r="G9" s="2">
        <v>629630</v>
      </c>
      <c r="H9" s="1">
        <v>194400</v>
      </c>
      <c r="I9" s="250">
        <v>51536</v>
      </c>
      <c r="J9" s="286">
        <v>19450</v>
      </c>
      <c r="K9" s="324">
        <v>39309</v>
      </c>
      <c r="L9" s="3"/>
      <c r="M9" s="359"/>
      <c r="N9" s="394"/>
      <c r="O9" s="3"/>
      <c r="P9" s="3"/>
      <c r="Q9" s="3"/>
      <c r="R9" s="3"/>
    </row>
    <row r="10" spans="1:18" x14ac:dyDescent="0.35">
      <c r="A10" s="120">
        <v>32509</v>
      </c>
      <c r="B10" s="184">
        <v>48</v>
      </c>
      <c r="C10" s="217">
        <v>485810</v>
      </c>
      <c r="D10" s="1">
        <v>693690</v>
      </c>
      <c r="E10" s="1">
        <v>283550</v>
      </c>
      <c r="F10" s="1">
        <v>318640</v>
      </c>
      <c r="G10" s="2">
        <v>550880</v>
      </c>
      <c r="H10" s="1">
        <v>115410</v>
      </c>
      <c r="I10" s="250">
        <v>62769</v>
      </c>
      <c r="J10" s="286">
        <v>39560</v>
      </c>
      <c r="K10" s="324">
        <v>21845</v>
      </c>
      <c r="L10" s="3"/>
      <c r="M10" s="359"/>
      <c r="N10" s="394"/>
      <c r="O10" s="3"/>
      <c r="P10" s="3"/>
      <c r="Q10" s="3"/>
      <c r="R10" s="3"/>
    </row>
    <row r="11" spans="1:18" x14ac:dyDescent="0.35">
      <c r="A11" s="120">
        <v>32540</v>
      </c>
      <c r="B11" s="184">
        <v>275</v>
      </c>
      <c r="C11" s="217">
        <v>105050</v>
      </c>
      <c r="D11" s="1">
        <v>180910</v>
      </c>
      <c r="E11" s="1">
        <v>49020</v>
      </c>
      <c r="F11" s="1">
        <v>52450</v>
      </c>
      <c r="G11" s="2">
        <v>411140</v>
      </c>
      <c r="H11" s="1">
        <v>185720</v>
      </c>
      <c r="I11" s="250">
        <v>48606</v>
      </c>
      <c r="J11" s="286">
        <v>18260</v>
      </c>
      <c r="K11" s="324">
        <v>83609</v>
      </c>
      <c r="L11" s="3"/>
      <c r="M11" s="359"/>
      <c r="N11" s="394"/>
      <c r="O11" s="3"/>
      <c r="P11" s="3"/>
      <c r="Q11" s="3"/>
      <c r="R11" s="3"/>
    </row>
    <row r="12" spans="1:18" x14ac:dyDescent="0.35">
      <c r="A12" s="120">
        <v>32568</v>
      </c>
      <c r="B12" s="184">
        <v>6475</v>
      </c>
      <c r="C12" s="217">
        <v>569650</v>
      </c>
      <c r="D12" s="1">
        <v>501550</v>
      </c>
      <c r="E12" s="1">
        <v>191120</v>
      </c>
      <c r="F12" s="1">
        <v>432960</v>
      </c>
      <c r="G12" s="2">
        <v>528880</v>
      </c>
      <c r="H12" s="1">
        <v>103840</v>
      </c>
      <c r="I12" s="250">
        <v>75585</v>
      </c>
      <c r="J12" s="286">
        <v>45703</v>
      </c>
      <c r="K12" s="324">
        <v>58295</v>
      </c>
      <c r="L12" s="3"/>
      <c r="M12" s="359"/>
      <c r="N12" s="394"/>
      <c r="O12" s="3"/>
      <c r="P12" s="3"/>
      <c r="Q12" s="3"/>
      <c r="R12" s="3"/>
    </row>
    <row r="13" spans="1:18" x14ac:dyDescent="0.35">
      <c r="A13" s="120">
        <v>32599</v>
      </c>
      <c r="B13" s="184">
        <v>5772</v>
      </c>
      <c r="C13" s="217">
        <v>959020</v>
      </c>
      <c r="D13" s="1">
        <v>490370</v>
      </c>
      <c r="E13" s="1">
        <v>323940</v>
      </c>
      <c r="F13" s="1">
        <v>402250</v>
      </c>
      <c r="G13" s="2">
        <v>696480</v>
      </c>
      <c r="H13" s="1">
        <v>22760</v>
      </c>
      <c r="I13" s="250">
        <v>64862</v>
      </c>
      <c r="J13" s="286">
        <v>33468</v>
      </c>
      <c r="K13" s="324">
        <v>92930</v>
      </c>
      <c r="L13" s="3"/>
      <c r="M13" s="359"/>
      <c r="N13" s="394"/>
      <c r="O13" s="3"/>
      <c r="P13" s="3"/>
      <c r="Q13" s="3"/>
      <c r="R13" s="3"/>
    </row>
    <row r="14" spans="1:18" x14ac:dyDescent="0.35">
      <c r="A14" s="120">
        <v>32629</v>
      </c>
      <c r="B14" s="184">
        <v>26713</v>
      </c>
      <c r="C14" s="217">
        <v>283770</v>
      </c>
      <c r="D14" s="1">
        <v>625890</v>
      </c>
      <c r="E14" s="1">
        <v>467960</v>
      </c>
      <c r="F14" s="1">
        <v>854420</v>
      </c>
      <c r="G14" s="2">
        <v>1586270</v>
      </c>
      <c r="H14" s="1">
        <v>5711820</v>
      </c>
      <c r="I14" s="250">
        <v>75531</v>
      </c>
      <c r="J14" s="286">
        <v>66364</v>
      </c>
      <c r="K14" s="324">
        <v>164283</v>
      </c>
      <c r="L14" s="3"/>
      <c r="M14" s="359"/>
      <c r="N14" s="394"/>
      <c r="O14" s="3"/>
      <c r="P14" s="3"/>
      <c r="Q14" s="3"/>
      <c r="R14" s="3"/>
    </row>
    <row r="15" spans="1:18" x14ac:dyDescent="0.35">
      <c r="A15" s="120">
        <v>32660</v>
      </c>
      <c r="B15" s="184">
        <v>3961</v>
      </c>
      <c r="C15" s="217">
        <v>532600</v>
      </c>
      <c r="D15" s="1">
        <v>802400</v>
      </c>
      <c r="E15" s="1">
        <v>557700</v>
      </c>
      <c r="F15" s="1">
        <v>609030</v>
      </c>
      <c r="G15" s="2">
        <v>1157190</v>
      </c>
      <c r="H15" s="1">
        <v>6918890</v>
      </c>
      <c r="I15" s="250">
        <v>76315</v>
      </c>
      <c r="J15" s="286">
        <v>55502</v>
      </c>
      <c r="K15" s="324">
        <v>142359</v>
      </c>
      <c r="L15" s="3"/>
      <c r="M15" s="359"/>
      <c r="N15" s="394"/>
      <c r="O15" s="3"/>
      <c r="P15" s="3"/>
      <c r="Q15" s="3"/>
      <c r="R15" s="3"/>
    </row>
    <row r="16" spans="1:18" x14ac:dyDescent="0.35">
      <c r="A16" s="120">
        <v>32690</v>
      </c>
      <c r="B16" s="184">
        <v>6008</v>
      </c>
      <c r="C16" s="217">
        <v>584410</v>
      </c>
      <c r="D16" s="1">
        <v>18810</v>
      </c>
      <c r="E16" s="1">
        <v>595310</v>
      </c>
      <c r="F16" s="1">
        <v>571130</v>
      </c>
      <c r="G16" s="2">
        <v>1418250</v>
      </c>
      <c r="H16" s="1">
        <v>2033130</v>
      </c>
      <c r="I16" s="250">
        <v>129891</v>
      </c>
      <c r="J16" s="286">
        <v>49506</v>
      </c>
      <c r="K16" s="324">
        <v>195231</v>
      </c>
      <c r="L16" s="3"/>
      <c r="M16" s="359"/>
      <c r="N16" s="394"/>
      <c r="O16" s="3"/>
      <c r="P16" s="3"/>
      <c r="Q16" s="3"/>
      <c r="R16" s="3"/>
    </row>
    <row r="17" spans="1:18" x14ac:dyDescent="0.35">
      <c r="A17" s="120">
        <v>32721</v>
      </c>
      <c r="B17" s="184">
        <v>11354</v>
      </c>
      <c r="C17" s="217">
        <v>734640</v>
      </c>
      <c r="D17" s="1">
        <v>10410</v>
      </c>
      <c r="E17" s="1">
        <v>39420</v>
      </c>
      <c r="F17" s="1">
        <v>1402170</v>
      </c>
      <c r="G17" s="2">
        <v>1506740</v>
      </c>
      <c r="H17" s="1">
        <v>1963030</v>
      </c>
      <c r="I17" s="250">
        <v>96077</v>
      </c>
      <c r="J17" s="286">
        <v>71121</v>
      </c>
      <c r="K17" s="324">
        <v>199768</v>
      </c>
      <c r="L17" s="3"/>
      <c r="M17" s="359"/>
      <c r="N17" s="394"/>
      <c r="O17" s="3"/>
      <c r="P17" s="3"/>
      <c r="Q17" s="3"/>
      <c r="R17" s="3"/>
    </row>
    <row r="18" spans="1:18" x14ac:dyDescent="0.35">
      <c r="A18" s="120">
        <v>32752</v>
      </c>
      <c r="B18" s="184">
        <v>918</v>
      </c>
      <c r="C18" s="217">
        <v>109330</v>
      </c>
      <c r="D18" s="1">
        <v>0</v>
      </c>
      <c r="E18" s="1">
        <v>0</v>
      </c>
      <c r="F18" s="1">
        <v>143430</v>
      </c>
      <c r="G18" s="2">
        <v>143380</v>
      </c>
      <c r="H18" s="1">
        <v>0</v>
      </c>
      <c r="I18" s="250">
        <v>23647</v>
      </c>
      <c r="J18" s="286">
        <v>14955</v>
      </c>
      <c r="K18" s="324">
        <v>39439</v>
      </c>
      <c r="L18" s="3"/>
      <c r="M18" s="359"/>
      <c r="N18" s="394"/>
      <c r="O18" s="3"/>
      <c r="P18" s="3"/>
      <c r="Q18" s="3"/>
      <c r="R18" s="3"/>
    </row>
    <row r="19" spans="1:18" x14ac:dyDescent="0.35">
      <c r="A19" s="120">
        <v>32782</v>
      </c>
      <c r="B19" s="184">
        <v>21998</v>
      </c>
      <c r="C19" s="217">
        <v>414140</v>
      </c>
      <c r="D19" s="1">
        <v>0</v>
      </c>
      <c r="E19" s="1">
        <v>0</v>
      </c>
      <c r="F19" s="1">
        <v>845430</v>
      </c>
      <c r="G19" s="2">
        <v>1091890</v>
      </c>
      <c r="H19" s="1">
        <v>698900</v>
      </c>
      <c r="I19" s="250">
        <v>82859</v>
      </c>
      <c r="J19" s="286">
        <v>75332</v>
      </c>
      <c r="K19" s="324">
        <v>162434</v>
      </c>
      <c r="L19" s="3"/>
      <c r="M19" s="359"/>
      <c r="N19" s="394"/>
      <c r="O19" s="3"/>
      <c r="P19" s="3"/>
      <c r="Q19" s="3"/>
      <c r="R19" s="3"/>
    </row>
    <row r="20" spans="1:18" x14ac:dyDescent="0.35">
      <c r="A20" s="120">
        <v>32813</v>
      </c>
      <c r="B20" s="184">
        <v>7451</v>
      </c>
      <c r="C20" s="217">
        <v>124670</v>
      </c>
      <c r="D20" s="1">
        <v>0</v>
      </c>
      <c r="E20" s="1">
        <v>0</v>
      </c>
      <c r="F20" s="1">
        <v>230260</v>
      </c>
      <c r="G20" s="2">
        <v>358610</v>
      </c>
      <c r="H20" s="1">
        <v>466310</v>
      </c>
      <c r="I20" s="250">
        <v>31089</v>
      </c>
      <c r="J20" s="286">
        <v>19811</v>
      </c>
      <c r="K20" s="324">
        <v>56121</v>
      </c>
      <c r="L20" s="3"/>
      <c r="M20" s="359"/>
      <c r="N20" s="394"/>
      <c r="O20" s="3"/>
      <c r="P20" s="3"/>
      <c r="Q20" s="3"/>
      <c r="R20" s="3"/>
    </row>
    <row r="21" spans="1:18" x14ac:dyDescent="0.35">
      <c r="A21" s="120">
        <v>32843</v>
      </c>
      <c r="B21" s="184">
        <v>18041</v>
      </c>
      <c r="C21" s="217">
        <v>455510</v>
      </c>
      <c r="D21" s="1">
        <v>416110</v>
      </c>
      <c r="E21" s="1">
        <v>0</v>
      </c>
      <c r="F21" s="1">
        <v>1332300</v>
      </c>
      <c r="G21" s="2">
        <v>1284430</v>
      </c>
      <c r="H21" s="1">
        <v>1284360</v>
      </c>
      <c r="I21" s="250">
        <v>144957</v>
      </c>
      <c r="J21" s="286">
        <v>31327</v>
      </c>
      <c r="K21" s="324">
        <v>142105</v>
      </c>
      <c r="L21" s="3"/>
      <c r="M21" s="359"/>
      <c r="N21" s="394"/>
      <c r="O21" s="3"/>
      <c r="P21" s="3"/>
      <c r="Q21" s="3"/>
      <c r="R21" s="3"/>
    </row>
    <row r="22" spans="1:18" x14ac:dyDescent="0.35">
      <c r="A22" s="120">
        <v>32874</v>
      </c>
      <c r="B22" s="184">
        <v>3058</v>
      </c>
      <c r="C22" s="217">
        <v>406770</v>
      </c>
      <c r="D22" s="1">
        <v>637214</v>
      </c>
      <c r="E22" s="1">
        <v>55000</v>
      </c>
      <c r="F22" s="1">
        <v>352280</v>
      </c>
      <c r="G22" s="2">
        <v>973950</v>
      </c>
      <c r="H22" s="1">
        <v>1560000</v>
      </c>
      <c r="I22" s="250">
        <v>84250</v>
      </c>
      <c r="J22" s="286">
        <v>27789</v>
      </c>
      <c r="K22" s="324">
        <v>90874</v>
      </c>
      <c r="L22" s="3"/>
      <c r="M22" s="359"/>
      <c r="N22" s="394"/>
      <c r="O22" s="3"/>
      <c r="P22" s="3"/>
      <c r="Q22" s="3"/>
      <c r="R22" s="3"/>
    </row>
    <row r="23" spans="1:18" x14ac:dyDescent="0.35">
      <c r="A23" s="120">
        <v>32905</v>
      </c>
      <c r="B23" s="184">
        <v>100340</v>
      </c>
      <c r="C23" s="217">
        <v>366330</v>
      </c>
      <c r="D23" s="1">
        <v>500510</v>
      </c>
      <c r="E23" s="1">
        <v>0</v>
      </c>
      <c r="F23" s="1">
        <v>457150</v>
      </c>
      <c r="G23" s="2">
        <v>900530</v>
      </c>
      <c r="H23" s="1">
        <v>248900</v>
      </c>
      <c r="I23" s="250">
        <v>127937</v>
      </c>
      <c r="J23" s="286">
        <v>36195</v>
      </c>
      <c r="K23" s="324">
        <v>172838</v>
      </c>
      <c r="L23" s="3"/>
      <c r="M23" s="359"/>
      <c r="N23" s="394"/>
      <c r="O23" s="3"/>
      <c r="P23" s="3"/>
      <c r="Q23" s="3"/>
      <c r="R23" s="3"/>
    </row>
    <row r="24" spans="1:18" x14ac:dyDescent="0.35">
      <c r="A24" s="120">
        <v>32933</v>
      </c>
      <c r="B24" s="184">
        <v>500</v>
      </c>
      <c r="C24" s="217">
        <v>200000</v>
      </c>
      <c r="D24" s="1">
        <v>333000</v>
      </c>
      <c r="E24" s="1">
        <v>171000</v>
      </c>
      <c r="F24" s="1">
        <v>416000</v>
      </c>
      <c r="G24" s="2">
        <v>578000</v>
      </c>
      <c r="H24" s="1">
        <v>4852000</v>
      </c>
      <c r="I24" s="250">
        <v>69240</v>
      </c>
      <c r="J24" s="286">
        <v>30700</v>
      </c>
      <c r="K24" s="324">
        <v>84500</v>
      </c>
      <c r="L24" s="3"/>
      <c r="M24" s="359"/>
      <c r="N24" s="394"/>
      <c r="O24" s="3"/>
      <c r="P24" s="3"/>
      <c r="Q24" s="3"/>
      <c r="R24" s="3"/>
    </row>
    <row r="25" spans="1:18" x14ac:dyDescent="0.35">
      <c r="A25" s="120">
        <v>32964</v>
      </c>
      <c r="B25" s="184">
        <v>200</v>
      </c>
      <c r="C25" s="217">
        <v>434000</v>
      </c>
      <c r="D25" s="1">
        <v>454000</v>
      </c>
      <c r="E25" s="1">
        <v>336000</v>
      </c>
      <c r="F25" s="1">
        <v>605000</v>
      </c>
      <c r="G25" s="2">
        <v>1033000</v>
      </c>
      <c r="H25" s="1">
        <v>4665000</v>
      </c>
      <c r="I25" s="250">
        <v>65020</v>
      </c>
      <c r="J25" s="286">
        <v>41500</v>
      </c>
      <c r="K25" s="324">
        <v>71200</v>
      </c>
      <c r="L25" s="3"/>
      <c r="M25" s="359"/>
      <c r="N25" s="394"/>
      <c r="O25" s="3"/>
      <c r="P25" s="3"/>
      <c r="Q25" s="3"/>
      <c r="R25" s="3"/>
    </row>
    <row r="26" spans="1:18" x14ac:dyDescent="0.35">
      <c r="A26" s="120">
        <v>32994</v>
      </c>
      <c r="B26" s="184">
        <v>100</v>
      </c>
      <c r="C26" s="217">
        <v>339000</v>
      </c>
      <c r="D26" s="1">
        <v>939000</v>
      </c>
      <c r="E26" s="1">
        <v>726000</v>
      </c>
      <c r="F26" s="1">
        <v>700000</v>
      </c>
      <c r="G26" s="2">
        <v>1797000</v>
      </c>
      <c r="H26" s="1">
        <v>6898000</v>
      </c>
      <c r="I26" s="250">
        <v>85240</v>
      </c>
      <c r="J26" s="286">
        <v>44900</v>
      </c>
      <c r="K26" s="324">
        <v>139700</v>
      </c>
      <c r="L26" s="3"/>
      <c r="M26" s="359"/>
      <c r="N26" s="394"/>
      <c r="O26" s="3"/>
      <c r="P26" s="3"/>
      <c r="Q26" s="3"/>
      <c r="R26" s="3"/>
    </row>
    <row r="27" spans="1:18" x14ac:dyDescent="0.35">
      <c r="A27" s="120">
        <v>33025</v>
      </c>
      <c r="B27" s="184">
        <v>24100</v>
      </c>
      <c r="C27" s="217">
        <v>517000</v>
      </c>
      <c r="D27" s="1">
        <v>435000</v>
      </c>
      <c r="E27" s="1">
        <v>1858000</v>
      </c>
      <c r="F27" s="1">
        <v>545000</v>
      </c>
      <c r="G27" s="2">
        <v>831000</v>
      </c>
      <c r="H27" s="1">
        <v>2010000</v>
      </c>
      <c r="I27" s="250">
        <v>77310</v>
      </c>
      <c r="J27" s="286">
        <v>21800</v>
      </c>
      <c r="K27" s="324">
        <v>65300</v>
      </c>
      <c r="L27" s="3"/>
      <c r="M27" s="359"/>
      <c r="N27" s="394"/>
      <c r="O27" s="3"/>
      <c r="P27" s="3"/>
      <c r="Q27" s="3"/>
      <c r="R27" s="3"/>
    </row>
    <row r="28" spans="1:18" x14ac:dyDescent="0.35">
      <c r="A28" s="120">
        <v>33055</v>
      </c>
      <c r="B28" s="184">
        <v>12200</v>
      </c>
      <c r="C28" s="217">
        <v>737000</v>
      </c>
      <c r="D28" s="1">
        <v>814000</v>
      </c>
      <c r="E28" s="1">
        <v>733000</v>
      </c>
      <c r="F28" s="1">
        <v>700000</v>
      </c>
      <c r="G28" s="2">
        <v>1507000</v>
      </c>
      <c r="H28" s="1">
        <v>3102000</v>
      </c>
      <c r="I28" s="250">
        <v>109360</v>
      </c>
      <c r="J28" s="286">
        <v>83000</v>
      </c>
      <c r="K28" s="324">
        <v>236000</v>
      </c>
      <c r="L28" s="3"/>
      <c r="M28" s="359"/>
      <c r="N28" s="394"/>
      <c r="O28" s="3"/>
      <c r="P28" s="3"/>
      <c r="Q28" s="3"/>
      <c r="R28" s="3"/>
    </row>
    <row r="29" spans="1:18" x14ac:dyDescent="0.35">
      <c r="A29" s="120">
        <v>33086</v>
      </c>
      <c r="B29" s="184">
        <v>11500</v>
      </c>
      <c r="C29" s="217">
        <v>663000</v>
      </c>
      <c r="D29" s="1">
        <v>986000</v>
      </c>
      <c r="E29" s="1">
        <v>1021000</v>
      </c>
      <c r="F29" s="1">
        <v>1557000</v>
      </c>
      <c r="G29" s="2">
        <v>1463000</v>
      </c>
      <c r="H29" s="1">
        <v>1827000</v>
      </c>
      <c r="I29" s="250">
        <v>121380</v>
      </c>
      <c r="J29" s="286">
        <v>52100</v>
      </c>
      <c r="K29" s="324">
        <v>197800</v>
      </c>
      <c r="L29" s="3"/>
      <c r="M29" s="359"/>
      <c r="N29" s="394"/>
      <c r="O29" s="3"/>
      <c r="P29" s="3"/>
      <c r="Q29" s="3"/>
      <c r="R29" s="3"/>
    </row>
    <row r="30" spans="1:18" x14ac:dyDescent="0.35">
      <c r="A30" s="120">
        <v>33117</v>
      </c>
      <c r="B30" s="184">
        <v>50700</v>
      </c>
      <c r="C30" s="217">
        <v>314000</v>
      </c>
      <c r="D30" s="1">
        <v>617000</v>
      </c>
      <c r="E30" s="1">
        <v>637000</v>
      </c>
      <c r="F30" s="1">
        <v>791000</v>
      </c>
      <c r="G30" s="2">
        <v>1359000</v>
      </c>
      <c r="H30" s="1">
        <v>624000</v>
      </c>
      <c r="I30" s="250">
        <v>118040</v>
      </c>
      <c r="J30" s="286">
        <v>40900</v>
      </c>
      <c r="K30" s="324">
        <v>152000</v>
      </c>
      <c r="L30" s="3"/>
      <c r="M30" s="359"/>
      <c r="N30" s="394"/>
      <c r="O30" s="3"/>
      <c r="P30" s="3"/>
      <c r="Q30" s="3"/>
      <c r="R30" s="3"/>
    </row>
    <row r="31" spans="1:18" x14ac:dyDescent="0.35">
      <c r="A31" s="120">
        <v>33147</v>
      </c>
      <c r="B31" s="184">
        <v>31200</v>
      </c>
      <c r="C31" s="217">
        <v>455000</v>
      </c>
      <c r="D31" s="1">
        <v>637000</v>
      </c>
      <c r="E31" s="1">
        <v>563000</v>
      </c>
      <c r="F31" s="1">
        <v>996000</v>
      </c>
      <c r="G31" s="2">
        <v>1031000</v>
      </c>
      <c r="H31" s="1">
        <v>2929000</v>
      </c>
      <c r="I31" s="250">
        <v>264400</v>
      </c>
      <c r="J31" s="286">
        <v>46000</v>
      </c>
      <c r="K31" s="324">
        <v>162500</v>
      </c>
      <c r="L31" s="3"/>
      <c r="M31" s="359"/>
      <c r="N31" s="394"/>
      <c r="O31" s="3"/>
      <c r="P31" s="3"/>
      <c r="Q31" s="3"/>
      <c r="R31" s="3"/>
    </row>
    <row r="32" spans="1:18" x14ac:dyDescent="0.35">
      <c r="A32" s="120">
        <v>33178</v>
      </c>
      <c r="B32" s="184">
        <v>2400</v>
      </c>
      <c r="C32" s="217">
        <v>241000</v>
      </c>
      <c r="D32" s="1">
        <v>224000</v>
      </c>
      <c r="E32" s="1">
        <v>319000</v>
      </c>
      <c r="F32" s="1">
        <v>536000</v>
      </c>
      <c r="G32" s="2">
        <v>672000</v>
      </c>
      <c r="H32" s="1">
        <v>1113000</v>
      </c>
      <c r="I32" s="250">
        <v>195140</v>
      </c>
      <c r="J32" s="286">
        <v>38800</v>
      </c>
      <c r="K32" s="324">
        <v>120400</v>
      </c>
      <c r="L32" s="3"/>
      <c r="M32" s="359"/>
      <c r="N32" s="394"/>
      <c r="O32" s="3"/>
      <c r="P32" s="3"/>
      <c r="Q32" s="3"/>
      <c r="R32" s="3"/>
    </row>
    <row r="33" spans="1:18" x14ac:dyDescent="0.35">
      <c r="A33" s="120">
        <v>33208</v>
      </c>
      <c r="B33" s="184">
        <v>2600</v>
      </c>
      <c r="C33" s="217">
        <v>163000</v>
      </c>
      <c r="D33" s="1">
        <v>174000</v>
      </c>
      <c r="E33" s="1">
        <v>267000</v>
      </c>
      <c r="F33" s="1">
        <v>602000</v>
      </c>
      <c r="G33" s="2">
        <v>650000</v>
      </c>
      <c r="H33" s="1">
        <v>1518000</v>
      </c>
      <c r="I33" s="250">
        <v>13161</v>
      </c>
      <c r="J33" s="286">
        <v>30500</v>
      </c>
      <c r="K33" s="324">
        <v>96800</v>
      </c>
      <c r="L33" s="3"/>
      <c r="M33" s="359"/>
      <c r="N33" s="394"/>
      <c r="O33" s="3"/>
      <c r="P33" s="3"/>
      <c r="Q33" s="3"/>
      <c r="R33" s="3"/>
    </row>
    <row r="34" spans="1:18" x14ac:dyDescent="0.35">
      <c r="A34" s="120">
        <v>33239</v>
      </c>
      <c r="B34" s="184">
        <v>7600</v>
      </c>
      <c r="C34" s="217">
        <v>560000</v>
      </c>
      <c r="D34" s="1">
        <v>729000</v>
      </c>
      <c r="E34" s="1">
        <v>748000</v>
      </c>
      <c r="F34" s="1">
        <v>939000</v>
      </c>
      <c r="G34" s="2">
        <v>1284000</v>
      </c>
      <c r="H34" s="1">
        <v>1560000</v>
      </c>
      <c r="I34" s="250">
        <v>289610</v>
      </c>
      <c r="J34" s="286">
        <v>61000</v>
      </c>
      <c r="K34" s="324">
        <v>145700</v>
      </c>
      <c r="L34" s="3"/>
      <c r="M34" s="359"/>
      <c r="N34" s="394"/>
      <c r="O34" s="3"/>
      <c r="P34" s="3"/>
      <c r="Q34" s="3"/>
      <c r="R34" s="3"/>
    </row>
    <row r="35" spans="1:18" x14ac:dyDescent="0.35">
      <c r="A35" s="120">
        <v>33270</v>
      </c>
      <c r="B35" s="184">
        <v>2400</v>
      </c>
      <c r="C35" s="217">
        <v>62000</v>
      </c>
      <c r="D35" s="1">
        <v>14000</v>
      </c>
      <c r="E35" s="1">
        <v>53000</v>
      </c>
      <c r="F35" s="1">
        <v>122000</v>
      </c>
      <c r="G35" s="2">
        <v>137000</v>
      </c>
      <c r="H35" s="1">
        <v>248000</v>
      </c>
      <c r="I35" s="250">
        <v>148080</v>
      </c>
      <c r="J35" s="286">
        <v>30600</v>
      </c>
      <c r="K35" s="324">
        <v>81900</v>
      </c>
      <c r="L35" s="3"/>
      <c r="M35" s="359"/>
      <c r="N35" s="394"/>
      <c r="O35" s="3"/>
      <c r="P35" s="3"/>
      <c r="Q35" s="3"/>
      <c r="R35" s="3"/>
    </row>
    <row r="36" spans="1:18" x14ac:dyDescent="0.35">
      <c r="A36" s="120">
        <v>33298</v>
      </c>
      <c r="B36" s="184">
        <v>0</v>
      </c>
      <c r="C36" s="217">
        <v>585000</v>
      </c>
      <c r="D36" s="1">
        <v>143000</v>
      </c>
      <c r="E36" s="1">
        <v>130000</v>
      </c>
      <c r="F36" s="1">
        <v>287000</v>
      </c>
      <c r="G36" s="2">
        <v>386000</v>
      </c>
      <c r="H36" s="1">
        <v>4852000</v>
      </c>
      <c r="I36" s="250">
        <v>7200</v>
      </c>
      <c r="J36" s="286">
        <v>14200</v>
      </c>
      <c r="K36" s="324">
        <v>26600</v>
      </c>
      <c r="L36" s="3"/>
      <c r="M36" s="359"/>
      <c r="N36" s="394"/>
      <c r="O36" s="3"/>
      <c r="P36" s="3"/>
      <c r="Q36" s="3"/>
      <c r="R36" s="3"/>
    </row>
    <row r="37" spans="1:18" x14ac:dyDescent="0.35">
      <c r="A37" s="120">
        <v>33329</v>
      </c>
      <c r="B37" s="184">
        <v>0</v>
      </c>
      <c r="C37" s="217">
        <v>181000</v>
      </c>
      <c r="D37" s="1">
        <v>200000</v>
      </c>
      <c r="E37" s="1">
        <v>218000</v>
      </c>
      <c r="F37" s="1">
        <v>360000</v>
      </c>
      <c r="G37" s="2">
        <v>343000</v>
      </c>
      <c r="H37" s="1">
        <v>4665000</v>
      </c>
      <c r="I37" s="250">
        <v>63140</v>
      </c>
      <c r="J37" s="286">
        <v>20600</v>
      </c>
      <c r="K37" s="324">
        <v>13390</v>
      </c>
      <c r="L37" s="3"/>
      <c r="M37" s="359"/>
      <c r="N37" s="394"/>
      <c r="O37" s="3"/>
      <c r="P37" s="3"/>
      <c r="Q37" s="3"/>
      <c r="R37" s="3"/>
    </row>
    <row r="38" spans="1:18" x14ac:dyDescent="0.35">
      <c r="A38" s="120">
        <v>33359</v>
      </c>
      <c r="B38" s="184">
        <v>0</v>
      </c>
      <c r="C38" s="217">
        <v>424000</v>
      </c>
      <c r="D38" s="1">
        <v>568000</v>
      </c>
      <c r="E38" s="1">
        <v>801000</v>
      </c>
      <c r="F38" s="1">
        <v>1284000</v>
      </c>
      <c r="G38" s="2">
        <v>1018000</v>
      </c>
      <c r="H38" s="1">
        <v>3432000</v>
      </c>
      <c r="I38" s="250">
        <v>154860</v>
      </c>
      <c r="J38" s="286">
        <v>72400</v>
      </c>
      <c r="K38" s="324">
        <v>47060</v>
      </c>
      <c r="L38" s="3"/>
      <c r="M38" s="359"/>
      <c r="N38" s="394"/>
      <c r="O38" s="3"/>
      <c r="P38" s="3"/>
      <c r="Q38" s="3"/>
      <c r="R38" s="3"/>
    </row>
    <row r="39" spans="1:18" x14ac:dyDescent="0.35">
      <c r="A39" s="120">
        <v>33390</v>
      </c>
      <c r="B39" s="184">
        <v>0</v>
      </c>
      <c r="C39" s="217">
        <v>352000</v>
      </c>
      <c r="D39" s="1">
        <v>431500</v>
      </c>
      <c r="E39" s="1">
        <v>327000</v>
      </c>
      <c r="F39" s="1">
        <v>858000</v>
      </c>
      <c r="G39" s="2">
        <v>911000</v>
      </c>
      <c r="H39" s="1">
        <v>2439100</v>
      </c>
      <c r="I39" s="250">
        <v>115670</v>
      </c>
      <c r="J39" s="286">
        <v>26000</v>
      </c>
      <c r="K39" s="324">
        <v>6070</v>
      </c>
      <c r="L39" s="3"/>
      <c r="M39" s="359"/>
      <c r="N39" s="394"/>
      <c r="O39" s="3"/>
      <c r="P39" s="3"/>
      <c r="Q39" s="3"/>
      <c r="R39" s="3"/>
    </row>
    <row r="40" spans="1:18" x14ac:dyDescent="0.35">
      <c r="A40" s="120">
        <v>33420</v>
      </c>
      <c r="B40" s="184">
        <v>0</v>
      </c>
      <c r="C40" s="217">
        <v>393000</v>
      </c>
      <c r="D40" s="1">
        <v>305500</v>
      </c>
      <c r="E40" s="1">
        <v>529000</v>
      </c>
      <c r="F40" s="1">
        <v>693000</v>
      </c>
      <c r="G40" s="2">
        <v>688000</v>
      </c>
      <c r="H40" s="1">
        <v>2277000</v>
      </c>
      <c r="I40" s="250">
        <v>122090</v>
      </c>
      <c r="J40" s="286">
        <v>54100</v>
      </c>
      <c r="K40" s="324">
        <v>9850</v>
      </c>
      <c r="L40" s="3"/>
      <c r="M40" s="359"/>
      <c r="N40" s="394"/>
      <c r="O40" s="3"/>
      <c r="P40" s="3"/>
      <c r="Q40" s="3"/>
      <c r="R40" s="3"/>
    </row>
    <row r="41" spans="1:18" x14ac:dyDescent="0.35">
      <c r="A41" s="120">
        <v>33451</v>
      </c>
      <c r="B41" s="184">
        <v>7200</v>
      </c>
      <c r="C41" s="217">
        <v>319000</v>
      </c>
      <c r="D41" s="1">
        <v>471000</v>
      </c>
      <c r="E41" s="1">
        <v>435000</v>
      </c>
      <c r="F41" s="1">
        <v>771000</v>
      </c>
      <c r="G41" s="2">
        <v>1040000</v>
      </c>
      <c r="H41" s="1">
        <v>1890070</v>
      </c>
      <c r="I41" s="250">
        <v>142600</v>
      </c>
      <c r="J41" s="286">
        <v>47400</v>
      </c>
      <c r="K41" s="324">
        <v>17680</v>
      </c>
      <c r="L41" s="3"/>
      <c r="M41" s="359"/>
      <c r="N41" s="394"/>
      <c r="O41" s="3"/>
      <c r="P41" s="3"/>
      <c r="Q41" s="3"/>
      <c r="R41" s="3"/>
    </row>
    <row r="42" spans="1:18" x14ac:dyDescent="0.35">
      <c r="A42" s="120">
        <v>33482</v>
      </c>
      <c r="B42" s="184">
        <v>8600</v>
      </c>
      <c r="C42" s="217">
        <v>368000</v>
      </c>
      <c r="D42" s="1">
        <v>173900</v>
      </c>
      <c r="E42" s="1">
        <v>306000</v>
      </c>
      <c r="F42" s="1">
        <v>765000</v>
      </c>
      <c r="G42" s="2">
        <v>941000</v>
      </c>
      <c r="H42" s="1">
        <v>254230</v>
      </c>
      <c r="I42" s="250">
        <v>114790</v>
      </c>
      <c r="J42" s="286">
        <v>31900</v>
      </c>
      <c r="K42" s="324">
        <v>9460</v>
      </c>
      <c r="L42" s="3"/>
      <c r="M42" s="359"/>
      <c r="N42" s="394"/>
      <c r="O42" s="3"/>
      <c r="P42" s="3"/>
      <c r="Q42" s="3"/>
      <c r="R42" s="3"/>
    </row>
    <row r="43" spans="1:18" x14ac:dyDescent="0.35">
      <c r="A43" s="120">
        <v>33512</v>
      </c>
      <c r="B43" s="184">
        <v>13300</v>
      </c>
      <c r="C43" s="217">
        <v>518000</v>
      </c>
      <c r="D43" s="1">
        <v>5000</v>
      </c>
      <c r="E43" s="1">
        <v>437000</v>
      </c>
      <c r="F43" s="1">
        <v>709000</v>
      </c>
      <c r="G43" s="2">
        <v>923000</v>
      </c>
      <c r="H43" s="1">
        <v>1894700</v>
      </c>
      <c r="I43" s="250">
        <v>224880</v>
      </c>
      <c r="J43" s="286">
        <v>39500</v>
      </c>
      <c r="K43" s="324">
        <v>123800</v>
      </c>
      <c r="L43" s="1">
        <v>0</v>
      </c>
      <c r="M43" s="359"/>
      <c r="N43" s="394"/>
      <c r="O43" s="3"/>
      <c r="P43" s="3"/>
      <c r="Q43" s="3"/>
      <c r="R43" s="3"/>
    </row>
    <row r="44" spans="1:18" x14ac:dyDescent="0.35">
      <c r="A44" s="120">
        <v>33543</v>
      </c>
      <c r="B44" s="184">
        <v>8600</v>
      </c>
      <c r="C44" s="217">
        <v>368000</v>
      </c>
      <c r="D44" s="1">
        <v>227600</v>
      </c>
      <c r="E44" s="1">
        <v>440000</v>
      </c>
      <c r="F44" s="1">
        <v>709000</v>
      </c>
      <c r="G44" s="2">
        <v>571000</v>
      </c>
      <c r="H44" s="1">
        <v>1660900</v>
      </c>
      <c r="I44" s="250">
        <v>111940</v>
      </c>
      <c r="J44" s="286">
        <v>25800</v>
      </c>
      <c r="K44" s="324">
        <v>115700</v>
      </c>
      <c r="L44" s="1">
        <v>0</v>
      </c>
      <c r="M44" s="359"/>
      <c r="N44" s="394"/>
      <c r="O44" s="3"/>
      <c r="P44" s="3"/>
      <c r="Q44" s="3"/>
      <c r="R44" s="3"/>
    </row>
    <row r="45" spans="1:18" x14ac:dyDescent="0.35">
      <c r="A45" s="120">
        <v>33573</v>
      </c>
      <c r="B45" s="184">
        <v>0</v>
      </c>
      <c r="C45" s="217">
        <v>301000</v>
      </c>
      <c r="D45" s="1">
        <v>510900</v>
      </c>
      <c r="E45" s="1">
        <v>387000</v>
      </c>
      <c r="F45" s="1">
        <v>544000</v>
      </c>
      <c r="G45" s="2">
        <v>681000</v>
      </c>
      <c r="H45" s="1">
        <v>1656900</v>
      </c>
      <c r="I45" s="250">
        <v>43460</v>
      </c>
      <c r="J45" s="286">
        <v>16200</v>
      </c>
      <c r="K45" s="324">
        <v>80900</v>
      </c>
      <c r="L45" s="1">
        <v>0</v>
      </c>
      <c r="M45" s="359"/>
      <c r="N45" s="394"/>
      <c r="O45" s="3"/>
      <c r="P45" s="3"/>
      <c r="Q45" s="3"/>
      <c r="R45" s="3"/>
    </row>
    <row r="46" spans="1:18" x14ac:dyDescent="0.35">
      <c r="A46" s="120">
        <v>33604</v>
      </c>
      <c r="B46" s="184">
        <v>100</v>
      </c>
      <c r="C46" s="217">
        <v>135800</v>
      </c>
      <c r="D46" s="1">
        <v>316000</v>
      </c>
      <c r="E46" s="1">
        <v>491000</v>
      </c>
      <c r="F46" s="1">
        <v>530000</v>
      </c>
      <c r="G46" s="2">
        <v>440000</v>
      </c>
      <c r="H46" s="1">
        <v>2326200</v>
      </c>
      <c r="I46" s="250">
        <v>61810</v>
      </c>
      <c r="J46" s="286">
        <v>29400</v>
      </c>
      <c r="K46" s="324">
        <v>84840</v>
      </c>
      <c r="L46" s="1">
        <v>0</v>
      </c>
      <c r="M46" s="359"/>
      <c r="N46" s="394"/>
      <c r="O46" s="3"/>
      <c r="P46" s="3"/>
      <c r="Q46" s="3"/>
      <c r="R46" s="3"/>
    </row>
    <row r="47" spans="1:18" x14ac:dyDescent="0.35">
      <c r="A47" s="120">
        <v>33635</v>
      </c>
      <c r="B47" s="184">
        <v>1300</v>
      </c>
      <c r="C47" s="217">
        <v>338200</v>
      </c>
      <c r="D47" s="1">
        <v>112600</v>
      </c>
      <c r="E47" s="1">
        <v>164000</v>
      </c>
      <c r="F47" s="1">
        <v>187000</v>
      </c>
      <c r="G47" s="2">
        <v>148000</v>
      </c>
      <c r="H47" s="1">
        <v>1770400</v>
      </c>
      <c r="I47" s="250">
        <v>74100</v>
      </c>
      <c r="J47" s="286">
        <v>1300</v>
      </c>
      <c r="K47" s="324">
        <v>16800</v>
      </c>
      <c r="L47" s="1">
        <v>0</v>
      </c>
      <c r="M47" s="359"/>
      <c r="N47" s="394"/>
      <c r="O47" s="3"/>
      <c r="P47" s="3"/>
      <c r="Q47" s="3"/>
      <c r="R47" s="3"/>
    </row>
    <row r="48" spans="1:18" x14ac:dyDescent="0.35">
      <c r="A48" s="120">
        <v>33664</v>
      </c>
      <c r="B48" s="184">
        <v>1200</v>
      </c>
      <c r="C48" s="217">
        <v>1184100</v>
      </c>
      <c r="D48" s="1">
        <v>228600</v>
      </c>
      <c r="E48" s="1">
        <v>314000</v>
      </c>
      <c r="F48" s="1">
        <v>266000</v>
      </c>
      <c r="G48" s="2">
        <v>172600</v>
      </c>
      <c r="H48" s="1">
        <v>1303500</v>
      </c>
      <c r="I48" s="250">
        <v>157600</v>
      </c>
      <c r="J48" s="286">
        <v>0</v>
      </c>
      <c r="K48" s="324">
        <v>28500</v>
      </c>
      <c r="L48" s="1">
        <v>800</v>
      </c>
      <c r="M48" s="359"/>
      <c r="N48" s="394"/>
      <c r="O48" s="3"/>
      <c r="P48" s="3"/>
      <c r="Q48" s="3"/>
      <c r="R48" s="3"/>
    </row>
    <row r="49" spans="1:18" x14ac:dyDescent="0.35">
      <c r="A49" s="120">
        <v>33695</v>
      </c>
      <c r="B49" s="184">
        <v>600</v>
      </c>
      <c r="C49" s="217">
        <v>1373300</v>
      </c>
      <c r="D49" s="1">
        <v>425500</v>
      </c>
      <c r="E49" s="1">
        <v>484000</v>
      </c>
      <c r="F49" s="1">
        <v>538000</v>
      </c>
      <c r="G49" s="2">
        <v>788100</v>
      </c>
      <c r="H49" s="1">
        <v>2146100</v>
      </c>
      <c r="I49" s="250">
        <v>120200</v>
      </c>
      <c r="J49" s="286">
        <v>300</v>
      </c>
      <c r="K49" s="324">
        <v>46700</v>
      </c>
      <c r="L49" s="1">
        <v>125800</v>
      </c>
      <c r="M49" s="359"/>
      <c r="N49" s="394"/>
      <c r="O49" s="3"/>
      <c r="P49" s="3"/>
      <c r="Q49" s="3"/>
      <c r="R49" s="3"/>
    </row>
    <row r="50" spans="1:18" x14ac:dyDescent="0.35">
      <c r="A50" s="120">
        <v>33725</v>
      </c>
      <c r="B50" s="184">
        <v>700</v>
      </c>
      <c r="C50" s="217">
        <v>346300</v>
      </c>
      <c r="D50" s="1">
        <v>399700</v>
      </c>
      <c r="E50" s="1">
        <v>335000</v>
      </c>
      <c r="F50" s="1">
        <v>653000</v>
      </c>
      <c r="G50" s="2">
        <v>896600</v>
      </c>
      <c r="H50" s="1">
        <v>2154700</v>
      </c>
      <c r="I50" s="250">
        <v>112700</v>
      </c>
      <c r="J50" s="286">
        <v>44800</v>
      </c>
      <c r="K50" s="324">
        <v>139000</v>
      </c>
      <c r="L50" s="1">
        <v>285100</v>
      </c>
      <c r="M50" s="359"/>
      <c r="N50" s="394"/>
      <c r="O50" s="3"/>
      <c r="P50" s="3"/>
      <c r="Q50" s="3"/>
      <c r="R50" s="3"/>
    </row>
    <row r="51" spans="1:18" x14ac:dyDescent="0.35">
      <c r="A51" s="120">
        <v>33756</v>
      </c>
      <c r="B51" s="184">
        <v>15100</v>
      </c>
      <c r="C51" s="217">
        <v>372900</v>
      </c>
      <c r="D51" s="1">
        <v>744200</v>
      </c>
      <c r="E51" s="1">
        <v>615000</v>
      </c>
      <c r="F51" s="1">
        <v>931000</v>
      </c>
      <c r="G51" s="2">
        <v>1042000</v>
      </c>
      <c r="H51" s="1">
        <v>3281300</v>
      </c>
      <c r="I51" s="250">
        <v>88700</v>
      </c>
      <c r="J51" s="286">
        <v>75600</v>
      </c>
      <c r="K51" s="324">
        <v>151600</v>
      </c>
      <c r="L51" s="1">
        <v>339900</v>
      </c>
      <c r="M51" s="359"/>
      <c r="N51" s="394"/>
      <c r="O51" s="3"/>
      <c r="P51" s="3"/>
      <c r="Q51" s="3"/>
      <c r="R51" s="3"/>
    </row>
    <row r="52" spans="1:18" x14ac:dyDescent="0.35">
      <c r="A52" s="120">
        <v>33786</v>
      </c>
      <c r="B52" s="184">
        <v>2800</v>
      </c>
      <c r="C52" s="217">
        <v>357000</v>
      </c>
      <c r="D52" s="1">
        <v>530300</v>
      </c>
      <c r="E52" s="1">
        <v>746000</v>
      </c>
      <c r="F52" s="1">
        <v>1016000</v>
      </c>
      <c r="G52" s="2">
        <v>1301000</v>
      </c>
      <c r="H52" s="1">
        <v>3673200</v>
      </c>
      <c r="I52" s="250">
        <v>126500</v>
      </c>
      <c r="J52" s="286">
        <v>57900</v>
      </c>
      <c r="K52" s="324">
        <v>169200</v>
      </c>
      <c r="L52" s="1">
        <v>500900</v>
      </c>
      <c r="M52" s="359"/>
      <c r="N52" s="394"/>
      <c r="O52" s="3"/>
      <c r="P52" s="3"/>
      <c r="Q52" s="3"/>
      <c r="R52" s="3"/>
    </row>
    <row r="53" spans="1:18" x14ac:dyDescent="0.35">
      <c r="A53" s="120">
        <v>33817</v>
      </c>
      <c r="B53" s="184">
        <v>3450</v>
      </c>
      <c r="C53" s="217">
        <v>358700</v>
      </c>
      <c r="D53" s="1">
        <v>546250</v>
      </c>
      <c r="E53" s="1">
        <v>574000</v>
      </c>
      <c r="F53" s="1">
        <v>951500</v>
      </c>
      <c r="G53" s="2">
        <v>1144900</v>
      </c>
      <c r="H53" s="1">
        <v>3746950</v>
      </c>
      <c r="I53" s="250">
        <v>102500</v>
      </c>
      <c r="J53" s="286">
        <v>68800</v>
      </c>
      <c r="K53" s="324">
        <v>123750</v>
      </c>
      <c r="L53" s="1">
        <v>494550</v>
      </c>
      <c r="M53" s="359"/>
      <c r="N53" s="394"/>
      <c r="O53" s="3"/>
      <c r="P53" s="3"/>
      <c r="Q53" s="3"/>
      <c r="R53" s="3"/>
    </row>
    <row r="54" spans="1:18" x14ac:dyDescent="0.35">
      <c r="A54" s="120">
        <v>33848</v>
      </c>
      <c r="B54" s="184">
        <v>23250</v>
      </c>
      <c r="C54" s="217">
        <v>281200</v>
      </c>
      <c r="D54" s="1">
        <v>526950</v>
      </c>
      <c r="E54" s="1">
        <v>521000</v>
      </c>
      <c r="F54" s="1">
        <v>738500</v>
      </c>
      <c r="G54" s="2">
        <v>1149800</v>
      </c>
      <c r="H54" s="1">
        <v>2986850</v>
      </c>
      <c r="I54" s="250">
        <v>86700</v>
      </c>
      <c r="J54" s="286">
        <v>46100</v>
      </c>
      <c r="K54" s="324">
        <v>122050</v>
      </c>
      <c r="L54" s="1">
        <v>386550</v>
      </c>
      <c r="M54" s="359"/>
      <c r="N54" s="394"/>
      <c r="O54" s="3"/>
      <c r="P54" s="3"/>
      <c r="Q54" s="3"/>
      <c r="R54" s="3"/>
    </row>
    <row r="55" spans="1:18" x14ac:dyDescent="0.35">
      <c r="A55" s="120">
        <v>33878</v>
      </c>
      <c r="B55" s="184">
        <v>24300</v>
      </c>
      <c r="C55" s="217">
        <v>409600</v>
      </c>
      <c r="D55" s="1">
        <v>791600</v>
      </c>
      <c r="E55" s="1">
        <v>686000</v>
      </c>
      <c r="F55" s="1">
        <v>2000</v>
      </c>
      <c r="G55" s="2">
        <v>933200</v>
      </c>
      <c r="H55" s="1">
        <v>3623400</v>
      </c>
      <c r="I55" s="250">
        <v>116100</v>
      </c>
      <c r="J55" s="286">
        <v>37600</v>
      </c>
      <c r="K55" s="324">
        <v>142000</v>
      </c>
      <c r="L55" s="1">
        <v>477100</v>
      </c>
      <c r="M55" s="361"/>
      <c r="N55" s="396"/>
      <c r="O55" s="1"/>
      <c r="P55" s="1"/>
      <c r="Q55" s="1"/>
      <c r="R55" s="1"/>
    </row>
    <row r="56" spans="1:18" x14ac:dyDescent="0.35">
      <c r="A56" s="120">
        <v>33909</v>
      </c>
      <c r="B56" s="184">
        <v>13900</v>
      </c>
      <c r="C56" s="217">
        <v>278600</v>
      </c>
      <c r="D56" s="1">
        <v>374900</v>
      </c>
      <c r="E56" s="1">
        <v>952000</v>
      </c>
      <c r="F56" s="1">
        <v>10000</v>
      </c>
      <c r="G56" s="2">
        <v>756800</v>
      </c>
      <c r="H56" s="1">
        <v>2029900</v>
      </c>
      <c r="I56" s="250">
        <v>80500</v>
      </c>
      <c r="J56" s="286">
        <v>28800</v>
      </c>
      <c r="K56" s="324">
        <v>65200</v>
      </c>
      <c r="L56" s="1">
        <v>224800</v>
      </c>
      <c r="M56" s="361"/>
      <c r="N56" s="396"/>
      <c r="O56" s="1"/>
      <c r="P56" s="1"/>
      <c r="Q56" s="1"/>
      <c r="R56" s="1"/>
    </row>
    <row r="57" spans="1:18" x14ac:dyDescent="0.35">
      <c r="A57" s="120">
        <v>33939</v>
      </c>
      <c r="B57" s="184">
        <v>1000</v>
      </c>
      <c r="C57" s="217">
        <v>1042800</v>
      </c>
      <c r="D57" s="1">
        <v>192600</v>
      </c>
      <c r="E57" s="1">
        <v>1100000</v>
      </c>
      <c r="F57" s="1">
        <v>3000</v>
      </c>
      <c r="G57" s="2">
        <v>440500</v>
      </c>
      <c r="H57" s="1">
        <v>3669300</v>
      </c>
      <c r="I57" s="250">
        <v>65600</v>
      </c>
      <c r="J57" s="286">
        <v>37700</v>
      </c>
      <c r="K57" s="324">
        <v>127500</v>
      </c>
      <c r="L57" s="1">
        <v>779800</v>
      </c>
      <c r="M57" s="361"/>
      <c r="N57" s="396"/>
      <c r="O57" s="1"/>
      <c r="P57" s="1"/>
      <c r="Q57" s="1"/>
      <c r="R57" s="1"/>
    </row>
    <row r="58" spans="1:18" x14ac:dyDescent="0.35">
      <c r="A58" s="120">
        <v>33970</v>
      </c>
      <c r="B58" s="184">
        <v>0</v>
      </c>
      <c r="C58" s="217">
        <v>1653100</v>
      </c>
      <c r="D58" s="1">
        <v>632600</v>
      </c>
      <c r="E58" s="1">
        <v>96000</v>
      </c>
      <c r="F58" s="1">
        <v>1000</v>
      </c>
      <c r="G58" s="2">
        <v>9300</v>
      </c>
      <c r="H58" s="1">
        <v>114000</v>
      </c>
      <c r="I58" s="250">
        <v>5800</v>
      </c>
      <c r="J58" s="286">
        <v>0</v>
      </c>
      <c r="K58" s="324">
        <v>5400</v>
      </c>
      <c r="L58" s="1">
        <v>25700</v>
      </c>
      <c r="M58" s="361"/>
      <c r="N58" s="396"/>
      <c r="O58" s="1"/>
      <c r="P58" s="1"/>
      <c r="Q58" s="1"/>
      <c r="R58" s="1"/>
    </row>
    <row r="59" spans="1:18" x14ac:dyDescent="0.35">
      <c r="A59" s="120">
        <v>34001</v>
      </c>
      <c r="B59" s="184">
        <v>100</v>
      </c>
      <c r="C59" s="217">
        <v>887200</v>
      </c>
      <c r="D59" s="1">
        <v>240300</v>
      </c>
      <c r="E59" s="1">
        <v>158000</v>
      </c>
      <c r="F59" s="1">
        <v>1000</v>
      </c>
      <c r="G59" s="2">
        <v>92700</v>
      </c>
      <c r="H59" s="1">
        <v>856500</v>
      </c>
      <c r="I59" s="250">
        <v>68300</v>
      </c>
      <c r="J59" s="286">
        <v>100</v>
      </c>
      <c r="K59" s="324">
        <v>17700</v>
      </c>
      <c r="L59" s="1">
        <v>88800</v>
      </c>
      <c r="M59" s="361"/>
      <c r="N59" s="396"/>
      <c r="O59" s="1"/>
      <c r="P59" s="1"/>
      <c r="Q59" s="1"/>
      <c r="R59" s="1"/>
    </row>
    <row r="60" spans="1:18" x14ac:dyDescent="0.35">
      <c r="A60" s="120">
        <v>34029</v>
      </c>
      <c r="B60" s="184">
        <v>700</v>
      </c>
      <c r="C60" s="217">
        <v>1020600</v>
      </c>
      <c r="D60" s="1">
        <v>211300</v>
      </c>
      <c r="E60" s="1">
        <v>577000</v>
      </c>
      <c r="F60" s="1">
        <v>1000</v>
      </c>
      <c r="G60" s="2">
        <v>279400</v>
      </c>
      <c r="H60" s="1">
        <v>1720000</v>
      </c>
      <c r="I60" s="250">
        <v>73700</v>
      </c>
      <c r="J60" s="286">
        <v>18100</v>
      </c>
      <c r="K60" s="324">
        <v>72900</v>
      </c>
      <c r="L60" s="1">
        <v>354600</v>
      </c>
      <c r="M60" s="361"/>
      <c r="N60" s="396"/>
      <c r="O60" s="1"/>
      <c r="P60" s="1"/>
      <c r="Q60" s="1"/>
      <c r="R60" s="1"/>
    </row>
    <row r="61" spans="1:18" x14ac:dyDescent="0.35">
      <c r="A61" s="120">
        <v>34060</v>
      </c>
      <c r="B61" s="184">
        <v>4000</v>
      </c>
      <c r="C61" s="217">
        <v>212600</v>
      </c>
      <c r="D61" s="1">
        <v>815500</v>
      </c>
      <c r="E61" s="1">
        <v>862000</v>
      </c>
      <c r="F61" s="1">
        <v>8000</v>
      </c>
      <c r="G61" s="2">
        <v>664500</v>
      </c>
      <c r="H61" s="1">
        <v>2015300</v>
      </c>
      <c r="I61" s="250">
        <v>94700</v>
      </c>
      <c r="J61" s="286">
        <v>73100</v>
      </c>
      <c r="K61" s="324">
        <v>110500</v>
      </c>
      <c r="L61" s="1">
        <v>454800</v>
      </c>
      <c r="M61" s="359"/>
      <c r="N61" s="394"/>
      <c r="O61" s="3"/>
      <c r="P61" s="3"/>
      <c r="Q61" s="3"/>
      <c r="R61" s="3"/>
    </row>
    <row r="62" spans="1:18" x14ac:dyDescent="0.35">
      <c r="A62" s="120">
        <v>34090</v>
      </c>
      <c r="B62" s="184">
        <v>2500</v>
      </c>
      <c r="C62" s="217">
        <v>291400</v>
      </c>
      <c r="D62" s="1">
        <v>546900</v>
      </c>
      <c r="E62" s="1">
        <v>1088000</v>
      </c>
      <c r="F62" s="1">
        <v>52000</v>
      </c>
      <c r="G62" s="2">
        <v>787500</v>
      </c>
      <c r="H62" s="1">
        <v>2341500</v>
      </c>
      <c r="I62" s="250">
        <v>31700</v>
      </c>
      <c r="J62" s="286">
        <v>59300</v>
      </c>
      <c r="K62" s="324">
        <v>112500</v>
      </c>
      <c r="L62" s="1">
        <v>453100</v>
      </c>
      <c r="M62" s="359"/>
      <c r="N62" s="394"/>
      <c r="O62" s="3"/>
      <c r="P62" s="3"/>
      <c r="Q62" s="3"/>
      <c r="R62" s="3"/>
    </row>
    <row r="63" spans="1:18" x14ac:dyDescent="0.35">
      <c r="A63" s="120">
        <v>34121</v>
      </c>
      <c r="B63" s="184">
        <v>9100</v>
      </c>
      <c r="C63" s="217">
        <v>346400</v>
      </c>
      <c r="D63" s="1">
        <v>547000</v>
      </c>
      <c r="E63" s="1">
        <v>1249000</v>
      </c>
      <c r="F63" s="1">
        <v>72000</v>
      </c>
      <c r="G63" s="2">
        <v>1172400</v>
      </c>
      <c r="H63" s="1">
        <v>2991800</v>
      </c>
      <c r="I63" s="250">
        <v>24000</v>
      </c>
      <c r="J63" s="286">
        <v>85900</v>
      </c>
      <c r="K63" s="324">
        <v>120800</v>
      </c>
      <c r="L63" s="1">
        <v>419100</v>
      </c>
      <c r="M63" s="359"/>
      <c r="N63" s="394"/>
      <c r="O63" s="3"/>
      <c r="P63" s="3"/>
      <c r="Q63" s="3"/>
      <c r="R63" s="3"/>
    </row>
    <row r="64" spans="1:18" x14ac:dyDescent="0.35">
      <c r="A64" s="120">
        <v>34151</v>
      </c>
      <c r="B64" s="184">
        <v>17700</v>
      </c>
      <c r="C64" s="217">
        <v>321200</v>
      </c>
      <c r="D64" s="1">
        <v>855600</v>
      </c>
      <c r="E64" s="1">
        <v>1270000</v>
      </c>
      <c r="F64" s="1">
        <v>232000</v>
      </c>
      <c r="G64" s="2">
        <v>1225800</v>
      </c>
      <c r="H64" s="1">
        <v>3753200</v>
      </c>
      <c r="I64" s="250">
        <v>109800</v>
      </c>
      <c r="J64" s="286">
        <v>92300</v>
      </c>
      <c r="K64" s="324">
        <v>130900</v>
      </c>
      <c r="L64" s="1">
        <v>490000</v>
      </c>
      <c r="M64" s="359"/>
      <c r="N64" s="394"/>
      <c r="O64" s="3"/>
      <c r="P64" s="3"/>
      <c r="Q64" s="3"/>
      <c r="R64" s="3"/>
    </row>
    <row r="65" spans="1:18" x14ac:dyDescent="0.35">
      <c r="A65" s="120">
        <v>34182</v>
      </c>
      <c r="B65" s="184">
        <v>6500</v>
      </c>
      <c r="C65" s="217">
        <v>304100</v>
      </c>
      <c r="D65" s="1">
        <v>548200</v>
      </c>
      <c r="E65" s="1">
        <v>1120000</v>
      </c>
      <c r="F65" s="1">
        <v>236000</v>
      </c>
      <c r="G65" s="2">
        <v>1097400</v>
      </c>
      <c r="H65" s="1">
        <v>3886300</v>
      </c>
      <c r="I65" s="250">
        <v>90500</v>
      </c>
      <c r="J65" s="286">
        <v>70300</v>
      </c>
      <c r="K65" s="324">
        <v>132800</v>
      </c>
      <c r="L65" s="1">
        <v>515700</v>
      </c>
      <c r="M65" s="359"/>
      <c r="N65" s="394"/>
      <c r="O65" s="3"/>
      <c r="P65" s="3"/>
      <c r="Q65" s="3"/>
      <c r="R65" s="3"/>
    </row>
    <row r="66" spans="1:18" x14ac:dyDescent="0.35">
      <c r="A66" s="120">
        <v>34213</v>
      </c>
      <c r="B66" s="184">
        <v>14900</v>
      </c>
      <c r="C66" s="217">
        <v>489000</v>
      </c>
      <c r="D66" s="1">
        <v>836200</v>
      </c>
      <c r="E66" s="1">
        <v>1454000</v>
      </c>
      <c r="F66" s="1">
        <v>244000</v>
      </c>
      <c r="G66" s="2">
        <v>1227900</v>
      </c>
      <c r="H66" s="1">
        <v>3819200</v>
      </c>
      <c r="I66" s="250">
        <v>100400</v>
      </c>
      <c r="J66" s="286">
        <v>93400</v>
      </c>
      <c r="K66" s="324">
        <v>116000</v>
      </c>
      <c r="L66" s="1">
        <v>403600</v>
      </c>
      <c r="M66" s="359"/>
      <c r="N66" s="394"/>
      <c r="O66" s="3"/>
      <c r="P66" s="3"/>
      <c r="Q66" s="3"/>
      <c r="R66" s="3"/>
    </row>
    <row r="67" spans="1:18" x14ac:dyDescent="0.35">
      <c r="A67" s="120">
        <v>34243</v>
      </c>
      <c r="B67" s="184">
        <v>15500</v>
      </c>
      <c r="C67" s="217">
        <v>354100</v>
      </c>
      <c r="D67" s="1">
        <v>358600</v>
      </c>
      <c r="E67" s="1">
        <v>667000</v>
      </c>
      <c r="F67" s="1">
        <v>97000</v>
      </c>
      <c r="G67" s="2">
        <v>619200</v>
      </c>
      <c r="H67" s="1">
        <v>1907200</v>
      </c>
      <c r="I67" s="250">
        <v>106600</v>
      </c>
      <c r="J67" s="286">
        <v>49700</v>
      </c>
      <c r="K67" s="324">
        <v>62000</v>
      </c>
      <c r="L67" s="1">
        <v>269800</v>
      </c>
      <c r="M67" s="359"/>
      <c r="N67" s="394"/>
      <c r="O67" s="3"/>
      <c r="P67" s="3"/>
      <c r="Q67" s="3"/>
      <c r="R67" s="3"/>
    </row>
    <row r="68" spans="1:18" x14ac:dyDescent="0.35">
      <c r="A68" s="120">
        <v>34274</v>
      </c>
      <c r="B68" s="184">
        <v>55300</v>
      </c>
      <c r="C68" s="217">
        <v>480400</v>
      </c>
      <c r="D68" s="1">
        <v>444600</v>
      </c>
      <c r="E68" s="1">
        <v>555000</v>
      </c>
      <c r="F68" s="1">
        <v>56000</v>
      </c>
      <c r="G68" s="2">
        <v>538200</v>
      </c>
      <c r="H68" s="1">
        <v>2081800</v>
      </c>
      <c r="I68" s="250">
        <v>84600</v>
      </c>
      <c r="J68" s="286">
        <v>31100</v>
      </c>
      <c r="K68" s="324">
        <v>95900</v>
      </c>
      <c r="L68" s="1">
        <v>238400</v>
      </c>
      <c r="M68" s="359"/>
      <c r="N68" s="394"/>
      <c r="O68" s="3"/>
      <c r="P68" s="3"/>
      <c r="Q68" s="3"/>
      <c r="R68" s="3"/>
    </row>
    <row r="69" spans="1:18" x14ac:dyDescent="0.35">
      <c r="A69" s="120">
        <v>34304</v>
      </c>
      <c r="B69" s="184">
        <v>1300</v>
      </c>
      <c r="C69" s="217">
        <v>173100</v>
      </c>
      <c r="D69" s="1">
        <v>575000</v>
      </c>
      <c r="E69" s="1">
        <v>1112000</v>
      </c>
      <c r="F69" s="1">
        <v>134000</v>
      </c>
      <c r="G69" s="2">
        <v>796300</v>
      </c>
      <c r="H69" s="1">
        <v>1541800</v>
      </c>
      <c r="I69" s="250">
        <v>98600</v>
      </c>
      <c r="J69" s="286">
        <v>27000</v>
      </c>
      <c r="K69" s="324">
        <v>80200</v>
      </c>
      <c r="L69" s="1">
        <v>238900</v>
      </c>
      <c r="M69" s="359"/>
      <c r="N69" s="394"/>
      <c r="O69" s="3"/>
      <c r="P69" s="3"/>
      <c r="Q69" s="3"/>
      <c r="R69" s="3"/>
    </row>
    <row r="70" spans="1:18" x14ac:dyDescent="0.35">
      <c r="A70" s="120">
        <v>34335</v>
      </c>
      <c r="B70" s="184">
        <v>0</v>
      </c>
      <c r="C70" s="217">
        <v>384100</v>
      </c>
      <c r="D70" s="1">
        <v>408600</v>
      </c>
      <c r="E70" s="1">
        <v>621000</v>
      </c>
      <c r="F70" s="1">
        <v>99000</v>
      </c>
      <c r="G70" s="2">
        <v>777400</v>
      </c>
      <c r="H70" s="1">
        <v>2006700</v>
      </c>
      <c r="I70" s="250">
        <v>97700</v>
      </c>
      <c r="J70" s="286">
        <v>28800</v>
      </c>
      <c r="K70" s="324">
        <v>82100</v>
      </c>
      <c r="L70" s="1">
        <v>211500</v>
      </c>
      <c r="M70" s="359"/>
      <c r="N70" s="394"/>
      <c r="O70" s="3"/>
      <c r="P70" s="3"/>
      <c r="Q70" s="3"/>
      <c r="R70" s="3"/>
    </row>
    <row r="71" spans="1:18" x14ac:dyDescent="0.35">
      <c r="A71" s="120">
        <v>34366</v>
      </c>
      <c r="B71" s="184">
        <v>0</v>
      </c>
      <c r="C71" s="217">
        <v>152200</v>
      </c>
      <c r="D71" s="1">
        <v>244900</v>
      </c>
      <c r="E71" s="1">
        <v>307000</v>
      </c>
      <c r="F71" s="1">
        <v>44000</v>
      </c>
      <c r="G71" s="2">
        <v>251600</v>
      </c>
      <c r="H71" s="1">
        <v>1295200</v>
      </c>
      <c r="I71" s="250">
        <v>100000</v>
      </c>
      <c r="J71" s="286">
        <v>17500</v>
      </c>
      <c r="K71" s="324">
        <v>36500</v>
      </c>
      <c r="L71" s="1">
        <v>151600</v>
      </c>
      <c r="M71" s="359"/>
      <c r="N71" s="394"/>
      <c r="O71" s="3"/>
      <c r="P71" s="3"/>
      <c r="Q71" s="3"/>
      <c r="R71" s="3"/>
    </row>
    <row r="72" spans="1:18" x14ac:dyDescent="0.35">
      <c r="A72" s="120">
        <v>34394</v>
      </c>
      <c r="B72" s="184">
        <v>0</v>
      </c>
      <c r="C72" s="217">
        <v>235000</v>
      </c>
      <c r="D72" s="1">
        <v>313500</v>
      </c>
      <c r="E72" s="1">
        <v>522000</v>
      </c>
      <c r="F72" s="1">
        <v>138000</v>
      </c>
      <c r="G72" s="2">
        <v>518900</v>
      </c>
      <c r="H72" s="1">
        <v>2105300</v>
      </c>
      <c r="I72" s="250">
        <v>129100</v>
      </c>
      <c r="J72" s="286">
        <v>25800</v>
      </c>
      <c r="K72" s="324">
        <v>54400</v>
      </c>
      <c r="L72" s="1">
        <v>239000</v>
      </c>
      <c r="M72" s="359"/>
      <c r="N72" s="394"/>
      <c r="O72" s="3"/>
      <c r="P72" s="3"/>
      <c r="Q72" s="3"/>
      <c r="R72" s="3"/>
    </row>
    <row r="73" spans="1:18" x14ac:dyDescent="0.35">
      <c r="A73" s="120">
        <v>34425</v>
      </c>
      <c r="B73" s="184">
        <v>1900</v>
      </c>
      <c r="C73" s="217">
        <v>354300</v>
      </c>
      <c r="D73" s="1">
        <v>692100</v>
      </c>
      <c r="E73" s="1">
        <v>530000</v>
      </c>
      <c r="F73" s="1">
        <v>216000</v>
      </c>
      <c r="G73" s="2">
        <v>577000</v>
      </c>
      <c r="H73" s="1">
        <v>1742400</v>
      </c>
      <c r="I73" s="250">
        <v>90600</v>
      </c>
      <c r="J73" s="286">
        <v>27500</v>
      </c>
      <c r="K73" s="324">
        <v>86900</v>
      </c>
      <c r="L73" s="1">
        <v>301400</v>
      </c>
      <c r="M73" s="359"/>
      <c r="N73" s="394"/>
      <c r="O73" s="3"/>
      <c r="P73" s="3"/>
      <c r="Q73" s="3"/>
      <c r="R73" s="3"/>
    </row>
    <row r="74" spans="1:18" x14ac:dyDescent="0.35">
      <c r="A74" s="120">
        <v>34455</v>
      </c>
      <c r="B74" s="184">
        <v>2100</v>
      </c>
      <c r="C74" s="217">
        <v>271700</v>
      </c>
      <c r="D74" s="1">
        <v>399600</v>
      </c>
      <c r="E74" s="1">
        <v>659000</v>
      </c>
      <c r="F74" s="1">
        <v>216000</v>
      </c>
      <c r="G74" s="2">
        <v>545500</v>
      </c>
      <c r="H74" s="1">
        <v>1702000</v>
      </c>
      <c r="I74" s="250">
        <v>143200</v>
      </c>
      <c r="J74" s="286">
        <v>23000</v>
      </c>
      <c r="K74" s="324">
        <v>83700</v>
      </c>
      <c r="L74" s="1">
        <v>310800</v>
      </c>
      <c r="M74" s="359"/>
      <c r="N74" s="394"/>
      <c r="O74" s="3"/>
      <c r="P74" s="3"/>
      <c r="Q74" s="3"/>
      <c r="R74" s="3"/>
    </row>
    <row r="75" spans="1:18" x14ac:dyDescent="0.35">
      <c r="A75" s="120">
        <v>34486</v>
      </c>
      <c r="B75" s="184">
        <v>14300</v>
      </c>
      <c r="C75" s="217">
        <v>525000</v>
      </c>
      <c r="D75" s="1">
        <v>982600</v>
      </c>
      <c r="E75" s="1">
        <v>1522000</v>
      </c>
      <c r="F75" s="1">
        <v>455000</v>
      </c>
      <c r="G75" s="2">
        <v>1559900</v>
      </c>
      <c r="H75" s="1">
        <v>5382000</v>
      </c>
      <c r="I75" s="250">
        <v>258300</v>
      </c>
      <c r="J75" s="286">
        <v>121600</v>
      </c>
      <c r="K75" s="324">
        <v>164200</v>
      </c>
      <c r="L75" s="1">
        <v>355400</v>
      </c>
      <c r="M75" s="359"/>
      <c r="N75" s="394"/>
      <c r="O75" s="3"/>
      <c r="P75" s="3"/>
      <c r="Q75" s="3"/>
      <c r="R75" s="3"/>
    </row>
    <row r="76" spans="1:18" x14ac:dyDescent="0.35">
      <c r="A76" s="120">
        <v>34516</v>
      </c>
      <c r="B76" s="184">
        <v>6700</v>
      </c>
      <c r="C76" s="217">
        <v>187000</v>
      </c>
      <c r="D76" s="1">
        <v>547200</v>
      </c>
      <c r="E76" s="1">
        <v>820000</v>
      </c>
      <c r="F76" s="1">
        <v>257000</v>
      </c>
      <c r="G76" s="2">
        <v>1113200</v>
      </c>
      <c r="H76" s="1">
        <v>3455400</v>
      </c>
      <c r="I76" s="250">
        <v>67100</v>
      </c>
      <c r="J76" s="286">
        <v>119200</v>
      </c>
      <c r="K76" s="324">
        <v>161800</v>
      </c>
      <c r="L76" s="1">
        <v>284500</v>
      </c>
      <c r="M76" s="359"/>
      <c r="N76" s="394"/>
      <c r="O76" s="3"/>
      <c r="P76" s="3"/>
      <c r="Q76" s="3"/>
      <c r="R76" s="3"/>
    </row>
    <row r="77" spans="1:18" x14ac:dyDescent="0.35">
      <c r="A77" s="120">
        <v>34547</v>
      </c>
      <c r="B77" s="184">
        <v>900</v>
      </c>
      <c r="C77" s="217">
        <v>318500</v>
      </c>
      <c r="D77" s="1">
        <v>860800</v>
      </c>
      <c r="E77" s="1">
        <v>1259000</v>
      </c>
      <c r="F77" s="1">
        <v>234000</v>
      </c>
      <c r="G77" s="2">
        <v>1200000</v>
      </c>
      <c r="H77" s="1">
        <v>3597000</v>
      </c>
      <c r="I77" s="250">
        <v>46700</v>
      </c>
      <c r="J77" s="286">
        <v>85000</v>
      </c>
      <c r="K77" s="324">
        <v>185600</v>
      </c>
      <c r="L77" s="1">
        <v>328800</v>
      </c>
      <c r="M77" s="359"/>
      <c r="N77" s="394"/>
      <c r="O77" s="3"/>
      <c r="P77" s="3"/>
      <c r="Q77" s="3"/>
      <c r="R77" s="3"/>
    </row>
    <row r="78" spans="1:18" x14ac:dyDescent="0.35">
      <c r="A78" s="120">
        <v>34578</v>
      </c>
      <c r="B78" s="184">
        <v>39400</v>
      </c>
      <c r="C78" s="217">
        <v>509600</v>
      </c>
      <c r="D78" s="1">
        <v>1051100</v>
      </c>
      <c r="E78" s="1">
        <v>1123000</v>
      </c>
      <c r="F78" s="1">
        <v>345000</v>
      </c>
      <c r="G78" s="2">
        <v>1137400</v>
      </c>
      <c r="H78" s="1">
        <v>3535900</v>
      </c>
      <c r="I78" s="250">
        <v>58800</v>
      </c>
      <c r="J78" s="286">
        <v>83700</v>
      </c>
      <c r="K78" s="324">
        <v>136700</v>
      </c>
      <c r="L78" s="1">
        <v>622500</v>
      </c>
      <c r="M78" s="359"/>
      <c r="N78" s="394"/>
      <c r="O78" s="3"/>
      <c r="P78" s="3"/>
      <c r="Q78" s="3"/>
      <c r="R78" s="3"/>
    </row>
    <row r="79" spans="1:18" x14ac:dyDescent="0.35">
      <c r="A79" s="120">
        <v>34608</v>
      </c>
      <c r="B79" s="184">
        <v>41900</v>
      </c>
      <c r="C79" s="217">
        <v>345200</v>
      </c>
      <c r="D79" s="1">
        <v>556900</v>
      </c>
      <c r="E79" s="1">
        <v>1098000</v>
      </c>
      <c r="F79" s="1">
        <v>142000</v>
      </c>
      <c r="G79" s="2">
        <v>808200</v>
      </c>
      <c r="H79" s="1">
        <v>2602500</v>
      </c>
      <c r="I79" s="250">
        <v>129800</v>
      </c>
      <c r="J79" s="286">
        <v>68100</v>
      </c>
      <c r="K79" s="324">
        <v>135200</v>
      </c>
      <c r="L79" s="1">
        <v>369900</v>
      </c>
      <c r="M79" s="359"/>
      <c r="N79" s="394"/>
      <c r="O79" s="3"/>
      <c r="P79" s="3"/>
      <c r="Q79" s="3"/>
      <c r="R79" s="3"/>
    </row>
    <row r="80" spans="1:18" x14ac:dyDescent="0.35">
      <c r="A80" s="120">
        <v>34639</v>
      </c>
      <c r="B80" s="184">
        <v>57200</v>
      </c>
      <c r="C80" s="217">
        <v>297900</v>
      </c>
      <c r="D80" s="1">
        <v>493800</v>
      </c>
      <c r="E80" s="1">
        <v>660000</v>
      </c>
      <c r="F80" s="1">
        <v>127000</v>
      </c>
      <c r="G80" s="2">
        <v>332500</v>
      </c>
      <c r="H80" s="1">
        <v>1195700</v>
      </c>
      <c r="I80" s="250">
        <v>163300</v>
      </c>
      <c r="J80" s="286">
        <v>26300</v>
      </c>
      <c r="K80" s="324">
        <v>57700</v>
      </c>
      <c r="L80" s="1">
        <v>260700</v>
      </c>
      <c r="M80" s="359"/>
      <c r="N80" s="394"/>
      <c r="O80" s="3"/>
      <c r="P80" s="3"/>
      <c r="Q80" s="3"/>
      <c r="R80" s="3"/>
    </row>
    <row r="81" spans="1:18" x14ac:dyDescent="0.35">
      <c r="A81" s="120">
        <v>34669</v>
      </c>
      <c r="B81" s="184">
        <v>36700</v>
      </c>
      <c r="C81" s="217">
        <v>304000</v>
      </c>
      <c r="D81" s="1">
        <v>472400</v>
      </c>
      <c r="E81" s="1">
        <v>783000</v>
      </c>
      <c r="F81" s="1">
        <v>137000</v>
      </c>
      <c r="G81" s="2">
        <v>567500</v>
      </c>
      <c r="H81" s="1">
        <v>1580600</v>
      </c>
      <c r="I81" s="250">
        <v>149000</v>
      </c>
      <c r="J81" s="286">
        <v>36500</v>
      </c>
      <c r="K81" s="324">
        <v>67200</v>
      </c>
      <c r="L81" s="1">
        <v>356800</v>
      </c>
      <c r="M81" s="359"/>
      <c r="N81" s="394"/>
      <c r="O81" s="3"/>
      <c r="P81" s="3"/>
      <c r="Q81" s="3"/>
      <c r="R81" s="3"/>
    </row>
    <row r="82" spans="1:18" x14ac:dyDescent="0.35">
      <c r="A82" s="120">
        <v>34700</v>
      </c>
      <c r="B82" s="184">
        <v>4300</v>
      </c>
      <c r="C82" s="217">
        <v>409300</v>
      </c>
      <c r="D82" s="1">
        <v>154700</v>
      </c>
      <c r="E82" s="1">
        <v>151000</v>
      </c>
      <c r="F82" s="1">
        <v>32000</v>
      </c>
      <c r="G82" s="2">
        <v>149600</v>
      </c>
      <c r="H82" s="1">
        <v>434900</v>
      </c>
      <c r="I82" s="250">
        <v>37800</v>
      </c>
      <c r="J82" s="286">
        <v>9100</v>
      </c>
      <c r="K82" s="324">
        <v>27400</v>
      </c>
      <c r="L82" s="1">
        <v>118600</v>
      </c>
      <c r="M82" s="359"/>
      <c r="N82" s="394"/>
      <c r="O82" s="3"/>
      <c r="P82" s="3"/>
      <c r="Q82" s="3"/>
      <c r="R82" s="3"/>
    </row>
    <row r="83" spans="1:18" x14ac:dyDescent="0.35">
      <c r="A83" s="120">
        <v>34731</v>
      </c>
      <c r="B83" s="184">
        <v>5800</v>
      </c>
      <c r="C83" s="217">
        <v>58400</v>
      </c>
      <c r="D83" s="1">
        <v>2800</v>
      </c>
      <c r="E83" s="1">
        <v>138000</v>
      </c>
      <c r="F83" s="1">
        <v>0</v>
      </c>
      <c r="G83" s="2">
        <v>19800</v>
      </c>
      <c r="H83" s="1">
        <v>39600</v>
      </c>
      <c r="I83" s="250">
        <v>37100</v>
      </c>
      <c r="J83" s="286">
        <v>1800</v>
      </c>
      <c r="K83" s="324">
        <v>0</v>
      </c>
      <c r="L83" s="1">
        <v>64500</v>
      </c>
      <c r="M83" s="359"/>
      <c r="N83" s="394"/>
      <c r="O83" s="3"/>
      <c r="P83" s="3"/>
      <c r="Q83" s="3"/>
      <c r="R83" s="3"/>
    </row>
    <row r="84" spans="1:18" x14ac:dyDescent="0.35">
      <c r="A84" s="120">
        <v>34759</v>
      </c>
      <c r="B84" s="184">
        <v>6400</v>
      </c>
      <c r="C84" s="217">
        <v>50700</v>
      </c>
      <c r="D84" s="1">
        <v>111900</v>
      </c>
      <c r="E84" s="1">
        <v>151000</v>
      </c>
      <c r="F84" s="1">
        <v>24000</v>
      </c>
      <c r="G84" s="2">
        <v>96000</v>
      </c>
      <c r="H84" s="1">
        <v>491800</v>
      </c>
      <c r="I84" s="250">
        <v>108300</v>
      </c>
      <c r="J84" s="286">
        <v>8200</v>
      </c>
      <c r="K84" s="324">
        <v>22000</v>
      </c>
      <c r="L84" s="1">
        <v>107700</v>
      </c>
      <c r="M84" s="359"/>
      <c r="N84" s="394"/>
      <c r="O84" s="3"/>
      <c r="P84" s="3"/>
      <c r="Q84" s="3"/>
      <c r="R84" s="3"/>
    </row>
    <row r="85" spans="1:18" x14ac:dyDescent="0.35">
      <c r="A85" s="120">
        <v>34790</v>
      </c>
      <c r="B85" s="184">
        <v>26200</v>
      </c>
      <c r="C85" s="217">
        <v>287800</v>
      </c>
      <c r="D85" s="1">
        <v>863800</v>
      </c>
      <c r="E85" s="1">
        <v>923000</v>
      </c>
      <c r="F85" s="1">
        <v>237000</v>
      </c>
      <c r="G85" s="2">
        <v>774700</v>
      </c>
      <c r="H85" s="1">
        <v>2848900</v>
      </c>
      <c r="I85" s="250">
        <v>176000</v>
      </c>
      <c r="J85" s="286">
        <v>42100</v>
      </c>
      <c r="K85" s="324">
        <v>85300</v>
      </c>
      <c r="L85" s="1">
        <v>437600</v>
      </c>
      <c r="M85" s="359"/>
      <c r="N85" s="394"/>
      <c r="O85" s="3"/>
      <c r="P85" s="3"/>
      <c r="Q85" s="3"/>
      <c r="R85" s="3"/>
    </row>
    <row r="86" spans="1:18" x14ac:dyDescent="0.35">
      <c r="A86" s="120">
        <v>34820</v>
      </c>
      <c r="B86" s="184">
        <v>27400</v>
      </c>
      <c r="C86" s="217">
        <v>163600</v>
      </c>
      <c r="D86" s="1">
        <v>592800</v>
      </c>
      <c r="E86" s="1">
        <v>991000</v>
      </c>
      <c r="F86" s="1">
        <v>200000</v>
      </c>
      <c r="G86" s="2">
        <v>836600</v>
      </c>
      <c r="H86" s="1">
        <v>2241100</v>
      </c>
      <c r="I86" s="250">
        <v>108500</v>
      </c>
      <c r="J86" s="286">
        <v>45100</v>
      </c>
      <c r="K86" s="324">
        <v>189700</v>
      </c>
      <c r="L86" s="1">
        <v>418000</v>
      </c>
      <c r="M86" s="359"/>
      <c r="N86" s="394"/>
      <c r="O86" s="3"/>
      <c r="P86" s="3"/>
      <c r="Q86" s="3"/>
      <c r="R86" s="3"/>
    </row>
    <row r="87" spans="1:18" x14ac:dyDescent="0.35">
      <c r="A87" s="120">
        <v>34851</v>
      </c>
      <c r="B87" s="184">
        <v>3900</v>
      </c>
      <c r="C87" s="217">
        <v>179300</v>
      </c>
      <c r="D87" s="1">
        <v>719100</v>
      </c>
      <c r="E87" s="1">
        <v>944000</v>
      </c>
      <c r="F87" s="1">
        <v>276000</v>
      </c>
      <c r="G87" s="2">
        <v>814000</v>
      </c>
      <c r="H87" s="1">
        <v>2065800</v>
      </c>
      <c r="I87" s="250">
        <v>90600</v>
      </c>
      <c r="J87" s="286">
        <v>52300</v>
      </c>
      <c r="K87" s="324">
        <v>240200</v>
      </c>
      <c r="L87" s="1">
        <v>442000</v>
      </c>
      <c r="M87" s="359"/>
      <c r="N87" s="394"/>
      <c r="O87" s="3"/>
      <c r="P87" s="3"/>
      <c r="Q87" s="3"/>
      <c r="R87" s="3"/>
    </row>
    <row r="88" spans="1:18" x14ac:dyDescent="0.35">
      <c r="A88" s="120">
        <v>34881</v>
      </c>
      <c r="B88" s="184">
        <v>0</v>
      </c>
      <c r="C88" s="217">
        <v>201300</v>
      </c>
      <c r="D88" s="1">
        <v>585300</v>
      </c>
      <c r="E88" s="1">
        <v>1175000</v>
      </c>
      <c r="F88" s="1">
        <v>288000</v>
      </c>
      <c r="G88" s="2">
        <v>681200</v>
      </c>
      <c r="H88" s="1">
        <v>2903600</v>
      </c>
      <c r="I88" s="250">
        <v>85700</v>
      </c>
      <c r="J88" s="286">
        <v>64400</v>
      </c>
      <c r="K88" s="324">
        <v>100800</v>
      </c>
      <c r="L88" s="1">
        <v>401800</v>
      </c>
      <c r="M88" s="359"/>
      <c r="N88" s="394"/>
      <c r="O88" s="3"/>
      <c r="P88" s="3"/>
      <c r="Q88" s="3"/>
      <c r="R88" s="3"/>
    </row>
    <row r="89" spans="1:18" x14ac:dyDescent="0.35">
      <c r="A89" s="120">
        <v>34912</v>
      </c>
      <c r="B89" s="184">
        <v>28000</v>
      </c>
      <c r="C89" s="217">
        <v>851000</v>
      </c>
      <c r="D89" s="1">
        <v>1046300</v>
      </c>
      <c r="E89" s="1">
        <v>1607000</v>
      </c>
      <c r="F89" s="1">
        <v>362000</v>
      </c>
      <c r="G89" s="2">
        <v>1111200</v>
      </c>
      <c r="H89" s="1">
        <v>4091700</v>
      </c>
      <c r="I89" s="250">
        <v>137500</v>
      </c>
      <c r="J89" s="286">
        <v>78700</v>
      </c>
      <c r="K89" s="324">
        <v>41300</v>
      </c>
      <c r="L89" s="1">
        <v>506600</v>
      </c>
      <c r="M89" s="359"/>
      <c r="N89" s="394"/>
      <c r="O89" s="3"/>
      <c r="P89" s="3"/>
      <c r="Q89" s="3"/>
      <c r="R89" s="3"/>
    </row>
    <row r="90" spans="1:18" x14ac:dyDescent="0.35">
      <c r="A90" s="120">
        <v>34943</v>
      </c>
      <c r="B90" s="184">
        <v>37400</v>
      </c>
      <c r="C90" s="217">
        <v>314800</v>
      </c>
      <c r="D90" s="1">
        <v>703800</v>
      </c>
      <c r="E90" s="1">
        <v>1309000</v>
      </c>
      <c r="F90" s="1">
        <v>280000</v>
      </c>
      <c r="G90" s="2">
        <v>992300</v>
      </c>
      <c r="H90" s="1">
        <v>3243400</v>
      </c>
      <c r="I90" s="250">
        <v>110700</v>
      </c>
      <c r="J90" s="286">
        <v>114400</v>
      </c>
      <c r="K90" s="324">
        <v>33500</v>
      </c>
      <c r="L90" s="1">
        <v>456700</v>
      </c>
      <c r="M90" s="359"/>
      <c r="N90" s="394"/>
      <c r="O90" s="3"/>
      <c r="P90" s="3"/>
      <c r="Q90" s="3"/>
      <c r="R90" s="3"/>
    </row>
    <row r="91" spans="1:18" x14ac:dyDescent="0.35">
      <c r="A91" s="120">
        <v>34973</v>
      </c>
      <c r="B91" s="184">
        <v>16900</v>
      </c>
      <c r="C91" s="217">
        <v>459000</v>
      </c>
      <c r="D91" s="1">
        <v>713000</v>
      </c>
      <c r="E91" s="1">
        <v>827000</v>
      </c>
      <c r="F91" s="1">
        <v>187000</v>
      </c>
      <c r="G91" s="2">
        <v>741500</v>
      </c>
      <c r="H91" s="1">
        <v>2586900</v>
      </c>
      <c r="I91" s="250">
        <v>44700</v>
      </c>
      <c r="J91" s="286">
        <v>82600</v>
      </c>
      <c r="K91" s="324">
        <v>147900</v>
      </c>
      <c r="L91" s="1">
        <v>473100</v>
      </c>
      <c r="M91" s="359"/>
      <c r="N91" s="394"/>
      <c r="O91" s="3"/>
      <c r="P91" s="3"/>
      <c r="Q91" s="3"/>
      <c r="R91" s="3"/>
    </row>
    <row r="92" spans="1:18" x14ac:dyDescent="0.35">
      <c r="A92" s="120">
        <v>35004</v>
      </c>
      <c r="B92" s="184">
        <v>5100</v>
      </c>
      <c r="C92" s="217">
        <v>277200</v>
      </c>
      <c r="D92" s="1">
        <v>512100</v>
      </c>
      <c r="E92" s="1">
        <v>699000</v>
      </c>
      <c r="F92" s="1">
        <v>202000</v>
      </c>
      <c r="G92" s="2">
        <v>463800</v>
      </c>
      <c r="H92" s="1">
        <v>1872400</v>
      </c>
      <c r="I92" s="250">
        <v>49000</v>
      </c>
      <c r="J92" s="286">
        <v>52600</v>
      </c>
      <c r="K92" s="324">
        <v>72300</v>
      </c>
      <c r="L92" s="1">
        <v>294900</v>
      </c>
      <c r="M92" s="359"/>
      <c r="N92" s="394"/>
      <c r="O92" s="3"/>
      <c r="P92" s="3"/>
      <c r="Q92" s="3"/>
      <c r="R92" s="3"/>
    </row>
    <row r="93" spans="1:18" x14ac:dyDescent="0.35">
      <c r="A93" s="120">
        <v>35034</v>
      </c>
      <c r="B93" s="184">
        <v>500</v>
      </c>
      <c r="C93" s="217">
        <v>174800</v>
      </c>
      <c r="D93" s="1">
        <v>189700</v>
      </c>
      <c r="E93" s="1">
        <v>417000</v>
      </c>
      <c r="F93" s="1">
        <v>137000</v>
      </c>
      <c r="G93" s="2">
        <v>381900</v>
      </c>
      <c r="H93" s="1">
        <v>1107000</v>
      </c>
      <c r="I93" s="250">
        <v>20800</v>
      </c>
      <c r="J93" s="286">
        <v>26500</v>
      </c>
      <c r="K93" s="324">
        <v>27100</v>
      </c>
      <c r="L93" s="1">
        <v>147700</v>
      </c>
      <c r="M93" s="359"/>
      <c r="N93" s="394"/>
      <c r="O93" s="3"/>
      <c r="P93" s="3"/>
      <c r="Q93" s="3"/>
      <c r="R93" s="3"/>
    </row>
    <row r="94" spans="1:18" x14ac:dyDescent="0.35">
      <c r="A94" s="120">
        <v>35065</v>
      </c>
      <c r="B94" s="184">
        <v>15800</v>
      </c>
      <c r="C94" s="217">
        <v>372600</v>
      </c>
      <c r="D94" s="1">
        <v>339700</v>
      </c>
      <c r="E94" s="1">
        <v>648000</v>
      </c>
      <c r="F94" s="1">
        <v>221000</v>
      </c>
      <c r="G94" s="2">
        <v>600900</v>
      </c>
      <c r="H94" s="1">
        <v>1846400</v>
      </c>
      <c r="I94" s="250">
        <v>60900</v>
      </c>
      <c r="J94" s="286">
        <v>50200</v>
      </c>
      <c r="K94" s="324">
        <v>83000</v>
      </c>
      <c r="L94" s="1">
        <v>32200</v>
      </c>
      <c r="M94" s="359"/>
      <c r="N94" s="394"/>
      <c r="O94" s="3"/>
      <c r="P94" s="3"/>
      <c r="Q94" s="3"/>
      <c r="R94" s="3"/>
    </row>
    <row r="95" spans="1:18" x14ac:dyDescent="0.35">
      <c r="A95" s="120">
        <v>35096</v>
      </c>
      <c r="B95" s="184">
        <v>0</v>
      </c>
      <c r="C95" s="217">
        <v>1311500</v>
      </c>
      <c r="D95" s="1">
        <v>223700</v>
      </c>
      <c r="E95" s="1">
        <v>192000</v>
      </c>
      <c r="F95" s="1">
        <v>48000</v>
      </c>
      <c r="G95" s="2">
        <v>137700</v>
      </c>
      <c r="H95" s="1">
        <v>331800</v>
      </c>
      <c r="I95" s="250">
        <v>11600</v>
      </c>
      <c r="J95" s="286">
        <v>6500</v>
      </c>
      <c r="K95" s="324">
        <v>18700</v>
      </c>
      <c r="L95" s="1">
        <v>35900</v>
      </c>
      <c r="M95" s="359"/>
      <c r="N95" s="394"/>
      <c r="O95" s="3"/>
      <c r="P95" s="3"/>
      <c r="Q95" s="3"/>
      <c r="R95" s="3"/>
    </row>
    <row r="96" spans="1:18" x14ac:dyDescent="0.35">
      <c r="A96" s="120">
        <v>35125</v>
      </c>
      <c r="B96" s="184">
        <v>300</v>
      </c>
      <c r="C96" s="217">
        <v>31500</v>
      </c>
      <c r="D96" s="1">
        <v>70000</v>
      </c>
      <c r="E96" s="1">
        <v>99000</v>
      </c>
      <c r="F96" s="1">
        <v>71000</v>
      </c>
      <c r="G96" s="2">
        <v>108200</v>
      </c>
      <c r="H96" s="1">
        <v>706200</v>
      </c>
      <c r="I96" s="250">
        <v>9500</v>
      </c>
      <c r="J96" s="286">
        <v>11100</v>
      </c>
      <c r="K96" s="324">
        <v>1300</v>
      </c>
      <c r="L96" s="1">
        <v>76800</v>
      </c>
      <c r="M96" s="359"/>
      <c r="N96" s="394"/>
      <c r="O96" s="3"/>
      <c r="P96" s="3"/>
      <c r="Q96" s="3"/>
      <c r="R96" s="3"/>
    </row>
    <row r="97" spans="1:18" x14ac:dyDescent="0.35">
      <c r="A97" s="120">
        <v>35156</v>
      </c>
      <c r="B97" s="184">
        <v>0</v>
      </c>
      <c r="C97" s="217">
        <v>480200</v>
      </c>
      <c r="D97" s="1">
        <v>456100</v>
      </c>
      <c r="E97" s="1">
        <v>730000</v>
      </c>
      <c r="F97" s="1">
        <v>226000</v>
      </c>
      <c r="G97" s="2">
        <v>621000</v>
      </c>
      <c r="H97" s="1">
        <v>2070600</v>
      </c>
      <c r="I97" s="250">
        <v>66300</v>
      </c>
      <c r="J97" s="286">
        <v>19600</v>
      </c>
      <c r="K97" s="324">
        <v>64300</v>
      </c>
      <c r="L97" s="1">
        <v>467900</v>
      </c>
      <c r="M97" s="359"/>
      <c r="N97" s="394"/>
      <c r="O97" s="3"/>
      <c r="P97" s="3"/>
      <c r="Q97" s="3"/>
      <c r="R97" s="3"/>
    </row>
    <row r="98" spans="1:18" x14ac:dyDescent="0.35">
      <c r="A98" s="120">
        <v>35186</v>
      </c>
      <c r="B98" s="184">
        <v>0</v>
      </c>
      <c r="C98" s="217">
        <v>416600</v>
      </c>
      <c r="D98" s="1">
        <v>1071200</v>
      </c>
      <c r="E98" s="1">
        <v>1926000</v>
      </c>
      <c r="F98" s="1">
        <v>419000</v>
      </c>
      <c r="G98" s="2">
        <v>1106300</v>
      </c>
      <c r="H98" s="1">
        <v>3138200</v>
      </c>
      <c r="I98" s="250">
        <v>110600</v>
      </c>
      <c r="J98" s="286">
        <v>70400</v>
      </c>
      <c r="K98" s="324">
        <v>154800</v>
      </c>
      <c r="L98" s="1">
        <v>593300</v>
      </c>
      <c r="M98" s="359"/>
      <c r="N98" s="394"/>
      <c r="O98" s="3"/>
      <c r="P98" s="3"/>
      <c r="Q98" s="3"/>
      <c r="R98" s="3"/>
    </row>
    <row r="99" spans="1:18" x14ac:dyDescent="0.35">
      <c r="A99" s="120">
        <v>35217</v>
      </c>
      <c r="B99" s="184">
        <v>4300</v>
      </c>
      <c r="C99" s="217">
        <v>363200</v>
      </c>
      <c r="D99" s="1">
        <v>693800</v>
      </c>
      <c r="E99" s="1">
        <v>1386000</v>
      </c>
      <c r="F99" s="1">
        <v>296000</v>
      </c>
      <c r="G99" s="2">
        <v>983900</v>
      </c>
      <c r="H99" s="1">
        <v>3216900</v>
      </c>
      <c r="I99" s="250">
        <v>81400</v>
      </c>
      <c r="J99" s="286">
        <v>108900</v>
      </c>
      <c r="K99" s="324">
        <v>74200</v>
      </c>
      <c r="L99" s="1">
        <v>357600</v>
      </c>
      <c r="M99" s="359"/>
      <c r="N99" s="394"/>
      <c r="O99" s="3"/>
      <c r="P99" s="3"/>
      <c r="Q99" s="3"/>
      <c r="R99" s="3"/>
    </row>
    <row r="100" spans="1:18" x14ac:dyDescent="0.35">
      <c r="A100" s="120">
        <v>35247</v>
      </c>
      <c r="B100" s="184">
        <v>900</v>
      </c>
      <c r="C100" s="217">
        <v>343500</v>
      </c>
      <c r="D100" s="1">
        <v>775900</v>
      </c>
      <c r="E100" s="1">
        <v>1095000</v>
      </c>
      <c r="F100" s="1">
        <v>250000</v>
      </c>
      <c r="G100" s="2">
        <v>815700</v>
      </c>
      <c r="H100" s="1">
        <v>3115500</v>
      </c>
      <c r="I100" s="250">
        <v>84100</v>
      </c>
      <c r="J100" s="286">
        <v>72100</v>
      </c>
      <c r="K100" s="324">
        <v>113500</v>
      </c>
      <c r="L100" s="1">
        <v>349500</v>
      </c>
      <c r="M100" s="359"/>
      <c r="N100" s="394"/>
      <c r="O100" s="3"/>
      <c r="P100" s="3"/>
      <c r="Q100" s="3"/>
      <c r="R100" s="3"/>
    </row>
    <row r="101" spans="1:18" x14ac:dyDescent="0.35">
      <c r="A101" s="120">
        <v>35278</v>
      </c>
      <c r="B101" s="184">
        <v>2400</v>
      </c>
      <c r="C101" s="217">
        <v>334800</v>
      </c>
      <c r="D101" s="1">
        <v>868200</v>
      </c>
      <c r="E101" s="1">
        <v>1304000</v>
      </c>
      <c r="F101" s="1">
        <v>320000</v>
      </c>
      <c r="G101" s="2">
        <v>794500</v>
      </c>
      <c r="H101" s="1">
        <v>3633500</v>
      </c>
      <c r="I101" s="250">
        <v>69800</v>
      </c>
      <c r="J101" s="286">
        <v>96500</v>
      </c>
      <c r="K101" s="324">
        <v>88200</v>
      </c>
      <c r="L101" s="1">
        <v>510400</v>
      </c>
      <c r="M101" s="359"/>
      <c r="N101" s="394"/>
      <c r="O101" s="3"/>
      <c r="P101" s="3"/>
      <c r="Q101" s="3"/>
      <c r="R101" s="3"/>
    </row>
    <row r="102" spans="1:18" x14ac:dyDescent="0.35">
      <c r="A102" s="120">
        <v>35309</v>
      </c>
      <c r="B102" s="184">
        <v>21400</v>
      </c>
      <c r="C102" s="217">
        <v>260400</v>
      </c>
      <c r="D102" s="1">
        <v>588700</v>
      </c>
      <c r="E102" s="1">
        <v>899000</v>
      </c>
      <c r="F102" s="1">
        <v>227000</v>
      </c>
      <c r="G102" s="2">
        <v>888000</v>
      </c>
      <c r="H102" s="1">
        <v>2532100</v>
      </c>
      <c r="I102" s="250">
        <v>59700</v>
      </c>
      <c r="J102" s="286">
        <v>62300</v>
      </c>
      <c r="K102" s="324">
        <v>72400</v>
      </c>
      <c r="L102" s="1">
        <v>323900</v>
      </c>
      <c r="M102" s="359"/>
      <c r="N102" s="394"/>
      <c r="O102" s="3"/>
      <c r="P102" s="3"/>
      <c r="Q102" s="3"/>
      <c r="R102" s="3"/>
    </row>
    <row r="103" spans="1:18" x14ac:dyDescent="0.35">
      <c r="A103" s="120">
        <v>35339</v>
      </c>
      <c r="B103" s="184">
        <v>64400</v>
      </c>
      <c r="C103" s="217">
        <v>224500</v>
      </c>
      <c r="D103" s="1">
        <v>334600</v>
      </c>
      <c r="E103" s="1">
        <v>468000</v>
      </c>
      <c r="F103" s="1">
        <v>173000</v>
      </c>
      <c r="G103" s="2">
        <v>548200</v>
      </c>
      <c r="H103" s="1">
        <v>1338200</v>
      </c>
      <c r="I103" s="250">
        <v>47800</v>
      </c>
      <c r="J103" s="286">
        <v>59800</v>
      </c>
      <c r="K103" s="324">
        <v>137800</v>
      </c>
      <c r="L103" s="1">
        <v>276900</v>
      </c>
      <c r="M103" s="361"/>
      <c r="N103" s="396"/>
      <c r="O103" s="1"/>
      <c r="P103" s="1"/>
      <c r="Q103" s="1"/>
      <c r="R103" s="1"/>
    </row>
    <row r="104" spans="1:18" x14ac:dyDescent="0.35">
      <c r="A104" s="120">
        <v>35370</v>
      </c>
      <c r="B104" s="184">
        <v>19500</v>
      </c>
      <c r="C104" s="217">
        <v>335200</v>
      </c>
      <c r="D104" s="1">
        <v>305900</v>
      </c>
      <c r="E104" s="1">
        <v>386000</v>
      </c>
      <c r="F104" s="1">
        <v>96000</v>
      </c>
      <c r="G104" s="2">
        <v>271800</v>
      </c>
      <c r="H104" s="1">
        <v>1222500</v>
      </c>
      <c r="I104" s="250">
        <v>30300</v>
      </c>
      <c r="J104" s="286">
        <v>22800</v>
      </c>
      <c r="K104" s="324">
        <v>58300</v>
      </c>
      <c r="L104" s="1">
        <v>167100</v>
      </c>
      <c r="M104" s="359"/>
      <c r="N104" s="394"/>
      <c r="O104" s="3"/>
      <c r="P104" s="3"/>
      <c r="Q104" s="3"/>
      <c r="R104" s="3"/>
    </row>
    <row r="105" spans="1:18" x14ac:dyDescent="0.35">
      <c r="A105" s="120">
        <v>35400</v>
      </c>
      <c r="B105" s="184">
        <v>3200</v>
      </c>
      <c r="C105" s="217">
        <v>176200</v>
      </c>
      <c r="D105" s="1">
        <v>245200</v>
      </c>
      <c r="E105" s="1">
        <v>337000</v>
      </c>
      <c r="F105" s="1">
        <v>49000</v>
      </c>
      <c r="G105" s="2">
        <v>133000</v>
      </c>
      <c r="H105" s="1">
        <v>587800</v>
      </c>
      <c r="I105" s="250">
        <v>19300</v>
      </c>
      <c r="J105" s="286">
        <v>12600</v>
      </c>
      <c r="K105" s="324">
        <v>34300</v>
      </c>
      <c r="L105" s="1">
        <v>90200</v>
      </c>
      <c r="M105" s="359"/>
      <c r="N105" s="394"/>
      <c r="O105" s="3"/>
      <c r="P105" s="3"/>
      <c r="Q105" s="3"/>
      <c r="R105" s="3"/>
    </row>
    <row r="106" spans="1:18" x14ac:dyDescent="0.35">
      <c r="A106" s="120">
        <v>35431</v>
      </c>
      <c r="B106" s="184">
        <v>6800</v>
      </c>
      <c r="C106" s="217">
        <v>41100</v>
      </c>
      <c r="D106" s="1">
        <v>84100</v>
      </c>
      <c r="E106" s="1">
        <v>142000</v>
      </c>
      <c r="F106" s="1">
        <v>2100</v>
      </c>
      <c r="G106" s="2">
        <v>55200</v>
      </c>
      <c r="H106" s="1">
        <v>625100</v>
      </c>
      <c r="I106" s="250">
        <v>15600</v>
      </c>
      <c r="J106" s="286">
        <v>9000</v>
      </c>
      <c r="K106" s="324">
        <v>55400</v>
      </c>
      <c r="L106" s="1">
        <v>13000</v>
      </c>
      <c r="M106" s="361"/>
      <c r="N106" s="396"/>
      <c r="O106" s="1"/>
      <c r="P106" s="1"/>
      <c r="Q106" s="1"/>
      <c r="R106" s="1"/>
    </row>
    <row r="107" spans="1:18" x14ac:dyDescent="0.35">
      <c r="A107" s="120">
        <v>35462</v>
      </c>
      <c r="B107" s="184">
        <v>8600</v>
      </c>
      <c r="C107" s="217">
        <v>79700</v>
      </c>
      <c r="D107" s="1">
        <v>205800</v>
      </c>
      <c r="E107" s="1">
        <v>316000</v>
      </c>
      <c r="F107" s="1">
        <v>34000</v>
      </c>
      <c r="G107" s="2">
        <v>201900</v>
      </c>
      <c r="H107" s="1">
        <v>787900</v>
      </c>
      <c r="I107" s="250">
        <v>18200</v>
      </c>
      <c r="J107" s="286">
        <v>18800</v>
      </c>
      <c r="K107" s="324">
        <v>42700</v>
      </c>
      <c r="L107" s="1">
        <v>47800</v>
      </c>
      <c r="M107" s="361"/>
      <c r="N107" s="396"/>
      <c r="O107" s="1"/>
      <c r="P107" s="1"/>
      <c r="Q107" s="1"/>
      <c r="R107" s="1"/>
    </row>
    <row r="108" spans="1:18" x14ac:dyDescent="0.35">
      <c r="A108" s="120">
        <v>35490</v>
      </c>
      <c r="B108" s="184">
        <v>11600</v>
      </c>
      <c r="C108" s="217">
        <v>125300</v>
      </c>
      <c r="D108" s="1">
        <v>260700</v>
      </c>
      <c r="E108" s="1">
        <v>456000</v>
      </c>
      <c r="F108" s="1">
        <v>165000</v>
      </c>
      <c r="G108" s="2">
        <v>442700</v>
      </c>
      <c r="H108" s="1">
        <v>2237200</v>
      </c>
      <c r="I108" s="250">
        <v>33000</v>
      </c>
      <c r="J108" s="286">
        <v>54000</v>
      </c>
      <c r="K108" s="324">
        <v>83500</v>
      </c>
      <c r="L108" s="1">
        <v>165200</v>
      </c>
      <c r="M108" s="359"/>
      <c r="N108" s="394"/>
      <c r="O108" s="3"/>
      <c r="P108" s="3"/>
      <c r="Q108" s="3"/>
      <c r="R108" s="3"/>
    </row>
    <row r="109" spans="1:18" x14ac:dyDescent="0.35">
      <c r="A109" s="120">
        <v>35521</v>
      </c>
      <c r="B109" s="184">
        <v>6400</v>
      </c>
      <c r="C109" s="217">
        <v>105700</v>
      </c>
      <c r="D109" s="1">
        <v>283700</v>
      </c>
      <c r="E109" s="1">
        <v>582000</v>
      </c>
      <c r="F109" s="1">
        <v>137000</v>
      </c>
      <c r="G109" s="2">
        <v>484000</v>
      </c>
      <c r="H109" s="1">
        <v>1601100</v>
      </c>
      <c r="I109" s="250">
        <v>32200</v>
      </c>
      <c r="J109" s="286">
        <v>67100</v>
      </c>
      <c r="K109" s="324">
        <v>123800</v>
      </c>
      <c r="L109" s="1">
        <v>209100</v>
      </c>
      <c r="M109" s="359"/>
      <c r="N109" s="394"/>
      <c r="O109" s="3"/>
      <c r="P109" s="3"/>
      <c r="Q109" s="3"/>
      <c r="R109" s="3"/>
    </row>
    <row r="110" spans="1:18" x14ac:dyDescent="0.35">
      <c r="A110" s="120">
        <v>35551</v>
      </c>
      <c r="B110" s="184">
        <v>15200</v>
      </c>
      <c r="C110" s="217">
        <v>219600</v>
      </c>
      <c r="D110" s="1">
        <v>500200</v>
      </c>
      <c r="E110" s="1">
        <v>1036000</v>
      </c>
      <c r="F110" s="1">
        <v>220000</v>
      </c>
      <c r="G110" s="2">
        <v>1033500</v>
      </c>
      <c r="H110" s="1">
        <v>3303600</v>
      </c>
      <c r="I110" s="250">
        <v>72800</v>
      </c>
      <c r="J110" s="286">
        <v>92200</v>
      </c>
      <c r="K110" s="324">
        <v>149000</v>
      </c>
      <c r="L110" s="1">
        <v>283700</v>
      </c>
      <c r="M110" s="359"/>
      <c r="N110" s="394"/>
      <c r="O110" s="3"/>
      <c r="P110" s="3"/>
      <c r="Q110" s="3"/>
      <c r="R110" s="3"/>
    </row>
    <row r="111" spans="1:18" x14ac:dyDescent="0.35">
      <c r="A111" s="120">
        <v>35582</v>
      </c>
      <c r="B111" s="184">
        <v>700</v>
      </c>
      <c r="C111" s="217">
        <v>194900</v>
      </c>
      <c r="D111" s="1">
        <v>662400</v>
      </c>
      <c r="E111" s="1">
        <v>1028000</v>
      </c>
      <c r="F111" s="1">
        <v>167000</v>
      </c>
      <c r="G111" s="2">
        <v>826000</v>
      </c>
      <c r="H111" s="1">
        <v>2793300</v>
      </c>
      <c r="I111" s="250">
        <v>77200</v>
      </c>
      <c r="J111" s="286">
        <v>69900</v>
      </c>
      <c r="K111" s="324">
        <v>132800</v>
      </c>
      <c r="L111" s="1">
        <v>388000</v>
      </c>
      <c r="M111" s="359"/>
      <c r="N111" s="394"/>
      <c r="O111" s="3"/>
      <c r="P111" s="3"/>
      <c r="Q111" s="3"/>
      <c r="R111" s="3"/>
    </row>
    <row r="112" spans="1:18" x14ac:dyDescent="0.35">
      <c r="A112" s="120">
        <v>35612</v>
      </c>
      <c r="B112" s="184">
        <v>7000</v>
      </c>
      <c r="C112" s="217">
        <v>243300</v>
      </c>
      <c r="D112" s="1">
        <v>796800</v>
      </c>
      <c r="E112" s="1">
        <v>1185000</v>
      </c>
      <c r="F112" s="1">
        <v>333000</v>
      </c>
      <c r="G112" s="2">
        <v>1264200</v>
      </c>
      <c r="H112" s="1">
        <v>3716200</v>
      </c>
      <c r="I112" s="250">
        <v>80200</v>
      </c>
      <c r="J112" s="286">
        <v>108100</v>
      </c>
      <c r="K112" s="324">
        <v>215300</v>
      </c>
      <c r="L112" s="1">
        <v>469600</v>
      </c>
      <c r="M112" s="359"/>
      <c r="N112" s="394"/>
      <c r="O112" s="3"/>
      <c r="P112" s="3"/>
      <c r="Q112" s="3"/>
      <c r="R112" s="3"/>
    </row>
    <row r="113" spans="1:18" x14ac:dyDescent="0.35">
      <c r="A113" s="120">
        <v>35643</v>
      </c>
      <c r="B113" s="184">
        <v>3900</v>
      </c>
      <c r="C113" s="217">
        <v>171300</v>
      </c>
      <c r="D113" s="1">
        <v>629100</v>
      </c>
      <c r="E113" s="1">
        <v>1130000</v>
      </c>
      <c r="F113" s="1">
        <v>212000</v>
      </c>
      <c r="G113" s="2">
        <v>982000</v>
      </c>
      <c r="H113" s="1">
        <v>2849200</v>
      </c>
      <c r="I113" s="250">
        <v>62400</v>
      </c>
      <c r="J113" s="286">
        <v>99300</v>
      </c>
      <c r="K113" s="324">
        <v>133500</v>
      </c>
      <c r="L113" s="1">
        <v>406600</v>
      </c>
      <c r="M113" s="359"/>
      <c r="N113" s="394"/>
      <c r="O113" s="3"/>
      <c r="P113" s="3"/>
      <c r="Q113" s="3"/>
      <c r="R113" s="3"/>
    </row>
    <row r="114" spans="1:18" x14ac:dyDescent="0.35">
      <c r="A114" s="120">
        <v>35674</v>
      </c>
      <c r="B114" s="184">
        <v>15900</v>
      </c>
      <c r="C114" s="217">
        <v>162000</v>
      </c>
      <c r="D114" s="1">
        <v>380500</v>
      </c>
      <c r="E114" s="1">
        <v>810000</v>
      </c>
      <c r="F114" s="1">
        <v>217000</v>
      </c>
      <c r="G114" s="2">
        <v>952300</v>
      </c>
      <c r="H114" s="1">
        <v>2853900</v>
      </c>
      <c r="I114" s="250">
        <v>63400</v>
      </c>
      <c r="J114" s="286">
        <v>83800</v>
      </c>
      <c r="K114" s="324">
        <v>134400</v>
      </c>
      <c r="L114" s="1">
        <v>307400</v>
      </c>
      <c r="M114" s="359"/>
      <c r="N114" s="394"/>
      <c r="O114" s="3"/>
      <c r="P114" s="3"/>
      <c r="Q114" s="3"/>
      <c r="R114" s="3"/>
    </row>
    <row r="115" spans="1:18" x14ac:dyDescent="0.35">
      <c r="A115" s="120">
        <v>35704</v>
      </c>
      <c r="B115" s="187">
        <v>12200</v>
      </c>
      <c r="C115" s="220">
        <v>203100</v>
      </c>
      <c r="D115" s="4">
        <v>447500</v>
      </c>
      <c r="E115" s="1">
        <v>903000</v>
      </c>
      <c r="F115" s="4">
        <v>261000</v>
      </c>
      <c r="G115" s="2">
        <v>773500</v>
      </c>
      <c r="H115" s="4">
        <v>2973500</v>
      </c>
      <c r="I115" s="253">
        <v>74900</v>
      </c>
      <c r="J115" s="289">
        <v>98200</v>
      </c>
      <c r="K115" s="327">
        <v>156800</v>
      </c>
      <c r="L115" s="4">
        <v>356200</v>
      </c>
      <c r="M115" s="361"/>
      <c r="N115" s="396"/>
      <c r="O115" s="1"/>
      <c r="P115" s="1"/>
      <c r="Q115" s="1"/>
      <c r="R115" s="1"/>
    </row>
    <row r="116" spans="1:18" x14ac:dyDescent="0.35">
      <c r="A116" s="120">
        <v>35735</v>
      </c>
      <c r="B116" s="187">
        <v>2800</v>
      </c>
      <c r="C116" s="220">
        <v>79200</v>
      </c>
      <c r="D116" s="4">
        <v>272200</v>
      </c>
      <c r="E116" s="1">
        <v>506000</v>
      </c>
      <c r="F116" s="4">
        <v>158000</v>
      </c>
      <c r="G116" s="2">
        <v>506800</v>
      </c>
      <c r="H116" s="4">
        <v>1550300</v>
      </c>
      <c r="I116" s="254">
        <v>46200</v>
      </c>
      <c r="J116" s="290">
        <v>53900</v>
      </c>
      <c r="K116" s="328">
        <v>112300</v>
      </c>
      <c r="L116" s="4">
        <v>210100</v>
      </c>
      <c r="M116" s="359"/>
      <c r="N116" s="394"/>
      <c r="O116" s="3"/>
      <c r="P116" s="3"/>
      <c r="Q116" s="3"/>
      <c r="R116" s="3"/>
    </row>
    <row r="117" spans="1:18" x14ac:dyDescent="0.35">
      <c r="A117" s="120">
        <v>35765</v>
      </c>
      <c r="B117" s="186">
        <v>0</v>
      </c>
      <c r="C117" s="219">
        <v>37600</v>
      </c>
      <c r="D117" s="5">
        <v>103900</v>
      </c>
      <c r="E117" s="1">
        <v>216000</v>
      </c>
      <c r="F117" s="5">
        <v>49000</v>
      </c>
      <c r="G117" s="2">
        <v>123300</v>
      </c>
      <c r="H117" s="5">
        <v>335500</v>
      </c>
      <c r="I117" s="253">
        <v>25400</v>
      </c>
      <c r="J117" s="289">
        <v>12700</v>
      </c>
      <c r="K117" s="327">
        <v>29600</v>
      </c>
      <c r="L117" s="5">
        <v>20600</v>
      </c>
      <c r="M117" s="359"/>
      <c r="N117" s="394"/>
      <c r="O117" s="3"/>
      <c r="P117" s="3"/>
      <c r="Q117" s="3"/>
      <c r="R117" s="3"/>
    </row>
    <row r="118" spans="1:18" x14ac:dyDescent="0.35">
      <c r="A118" s="120">
        <v>35796</v>
      </c>
      <c r="B118" s="186">
        <v>100</v>
      </c>
      <c r="C118" s="219">
        <v>51000</v>
      </c>
      <c r="D118" s="5">
        <v>160000</v>
      </c>
      <c r="E118" s="1">
        <v>358200</v>
      </c>
      <c r="F118" s="5">
        <v>35000</v>
      </c>
      <c r="G118" s="2">
        <v>204400</v>
      </c>
      <c r="H118" s="5">
        <v>949100</v>
      </c>
      <c r="I118" s="253">
        <v>21000</v>
      </c>
      <c r="J118" s="289">
        <v>22000</v>
      </c>
      <c r="K118" s="327">
        <v>37700</v>
      </c>
      <c r="L118" s="5">
        <v>38300</v>
      </c>
      <c r="M118" s="365"/>
      <c r="N118" s="400"/>
      <c r="O118" s="4"/>
      <c r="P118" s="4"/>
      <c r="Q118" s="4"/>
      <c r="R118" s="4"/>
    </row>
    <row r="119" spans="1:18" x14ac:dyDescent="0.35">
      <c r="A119" s="120">
        <v>35827</v>
      </c>
      <c r="B119" s="187">
        <v>0</v>
      </c>
      <c r="C119" s="220">
        <v>1400</v>
      </c>
      <c r="D119" s="4">
        <v>400</v>
      </c>
      <c r="E119" s="1">
        <v>12000</v>
      </c>
      <c r="F119" s="4">
        <v>3000</v>
      </c>
      <c r="G119" s="2">
        <v>300</v>
      </c>
      <c r="H119" s="4">
        <v>41000</v>
      </c>
      <c r="I119" s="253">
        <v>2100</v>
      </c>
      <c r="J119" s="289">
        <v>1200</v>
      </c>
      <c r="K119" s="327">
        <v>12400</v>
      </c>
      <c r="L119" s="4">
        <v>100</v>
      </c>
      <c r="M119" s="365"/>
      <c r="N119" s="400"/>
      <c r="O119" s="4"/>
      <c r="P119" s="4"/>
      <c r="Q119" s="4"/>
      <c r="R119" s="4"/>
    </row>
    <row r="120" spans="1:18" x14ac:dyDescent="0.35">
      <c r="A120" s="120">
        <v>35855</v>
      </c>
      <c r="B120" s="186">
        <v>0</v>
      </c>
      <c r="C120" s="219">
        <v>45200</v>
      </c>
      <c r="D120" s="5">
        <v>186000</v>
      </c>
      <c r="E120" s="1">
        <v>230100</v>
      </c>
      <c r="F120" s="5">
        <v>75000</v>
      </c>
      <c r="G120" s="2">
        <v>218100</v>
      </c>
      <c r="H120" s="5">
        <v>672500</v>
      </c>
      <c r="I120" s="253">
        <v>2100</v>
      </c>
      <c r="J120" s="289">
        <v>28200</v>
      </c>
      <c r="K120" s="327">
        <v>45900</v>
      </c>
      <c r="L120" s="5">
        <v>155000</v>
      </c>
      <c r="M120" s="364"/>
      <c r="N120" s="399"/>
      <c r="O120" s="5"/>
      <c r="P120" s="5"/>
      <c r="Q120" s="5"/>
      <c r="R120" s="5"/>
    </row>
    <row r="121" spans="1:18" x14ac:dyDescent="0.35">
      <c r="A121" s="120">
        <v>35886</v>
      </c>
      <c r="B121" s="184">
        <v>900</v>
      </c>
      <c r="C121" s="217">
        <v>55800</v>
      </c>
      <c r="D121" s="1">
        <v>155200</v>
      </c>
      <c r="E121" s="1">
        <v>170000</v>
      </c>
      <c r="F121" s="1">
        <v>29000</v>
      </c>
      <c r="G121" s="2">
        <v>156700</v>
      </c>
      <c r="H121" s="1">
        <v>1063800</v>
      </c>
      <c r="I121" s="250">
        <v>39400</v>
      </c>
      <c r="J121" s="286">
        <v>28200</v>
      </c>
      <c r="K121" s="324">
        <v>57500</v>
      </c>
      <c r="L121" s="1">
        <v>38800</v>
      </c>
      <c r="M121" s="359"/>
      <c r="N121" s="394"/>
      <c r="O121" s="3"/>
      <c r="P121" s="3"/>
      <c r="Q121" s="3"/>
      <c r="R121" s="3"/>
    </row>
    <row r="122" spans="1:18" x14ac:dyDescent="0.35">
      <c r="A122" s="120">
        <v>35916</v>
      </c>
      <c r="B122" s="184">
        <v>0</v>
      </c>
      <c r="C122" s="217">
        <v>34800</v>
      </c>
      <c r="D122" s="1">
        <v>239100</v>
      </c>
      <c r="E122" s="1">
        <v>245200</v>
      </c>
      <c r="F122" s="1">
        <v>57000</v>
      </c>
      <c r="G122" s="2">
        <v>317700</v>
      </c>
      <c r="H122" s="1">
        <v>1270300</v>
      </c>
      <c r="I122" s="250">
        <v>40900</v>
      </c>
      <c r="J122" s="286">
        <v>30900</v>
      </c>
      <c r="K122" s="324">
        <v>66900</v>
      </c>
      <c r="L122" s="1">
        <v>139200</v>
      </c>
      <c r="M122" s="359"/>
      <c r="N122" s="394"/>
      <c r="O122" s="3"/>
      <c r="P122" s="3"/>
      <c r="Q122" s="3"/>
      <c r="R122" s="3"/>
    </row>
    <row r="123" spans="1:18" x14ac:dyDescent="0.35">
      <c r="A123" s="120">
        <v>35947</v>
      </c>
      <c r="B123" s="184">
        <v>0</v>
      </c>
      <c r="C123" s="217">
        <v>125300</v>
      </c>
      <c r="D123" s="1">
        <v>323300</v>
      </c>
      <c r="E123" s="1">
        <v>778000</v>
      </c>
      <c r="F123" s="1">
        <v>84000</v>
      </c>
      <c r="G123" s="2">
        <v>487700</v>
      </c>
      <c r="H123" s="1">
        <v>2393800</v>
      </c>
      <c r="I123" s="250">
        <v>70700</v>
      </c>
      <c r="J123" s="286">
        <v>53600</v>
      </c>
      <c r="K123" s="324">
        <v>111700</v>
      </c>
      <c r="L123" s="1">
        <v>205500</v>
      </c>
      <c r="M123" s="359"/>
      <c r="N123" s="394"/>
      <c r="O123" s="3"/>
      <c r="P123" s="3"/>
      <c r="Q123" s="3"/>
      <c r="R123" s="3"/>
    </row>
    <row r="124" spans="1:18" x14ac:dyDescent="0.35">
      <c r="A124" s="120">
        <v>35977</v>
      </c>
      <c r="B124" s="184">
        <v>4200</v>
      </c>
      <c r="C124" s="217">
        <v>257800</v>
      </c>
      <c r="D124" s="1">
        <v>661500</v>
      </c>
      <c r="E124" s="1">
        <v>1597300</v>
      </c>
      <c r="F124" s="1">
        <v>102000</v>
      </c>
      <c r="G124" s="2">
        <v>1063100</v>
      </c>
      <c r="H124" s="1">
        <v>3245200</v>
      </c>
      <c r="I124" s="250">
        <v>69700</v>
      </c>
      <c r="J124" s="286">
        <v>83200</v>
      </c>
      <c r="K124" s="324">
        <v>174000</v>
      </c>
      <c r="L124" s="1">
        <v>351600</v>
      </c>
      <c r="M124" s="359"/>
      <c r="N124" s="394"/>
      <c r="O124" s="3"/>
      <c r="P124" s="3"/>
      <c r="Q124" s="3"/>
      <c r="R124" s="3"/>
    </row>
    <row r="125" spans="1:18" x14ac:dyDescent="0.35">
      <c r="A125" s="120">
        <v>36008</v>
      </c>
      <c r="B125" s="184">
        <v>27700</v>
      </c>
      <c r="C125" s="217">
        <v>310300</v>
      </c>
      <c r="D125" s="1">
        <v>698500</v>
      </c>
      <c r="E125" s="1">
        <v>1048200</v>
      </c>
      <c r="F125" s="1">
        <v>116000</v>
      </c>
      <c r="G125" s="2">
        <v>845100</v>
      </c>
      <c r="H125" s="1">
        <v>3161800</v>
      </c>
      <c r="I125" s="250">
        <v>77500</v>
      </c>
      <c r="J125" s="286">
        <v>77200</v>
      </c>
      <c r="K125" s="324">
        <v>143100</v>
      </c>
      <c r="L125" s="1">
        <v>402500</v>
      </c>
      <c r="M125" s="359"/>
      <c r="N125" s="394"/>
      <c r="O125" s="3"/>
      <c r="P125" s="3"/>
      <c r="Q125" s="3"/>
      <c r="R125" s="3"/>
    </row>
    <row r="126" spans="1:18" x14ac:dyDescent="0.35">
      <c r="A126" s="120">
        <v>36039</v>
      </c>
      <c r="B126" s="184">
        <v>12500</v>
      </c>
      <c r="C126" s="217">
        <v>285100</v>
      </c>
      <c r="D126" s="1">
        <v>672300</v>
      </c>
      <c r="E126" s="1">
        <v>903800</v>
      </c>
      <c r="F126" s="1">
        <v>113000</v>
      </c>
      <c r="G126" s="2">
        <v>938300</v>
      </c>
      <c r="H126" s="1">
        <v>2856700</v>
      </c>
      <c r="I126" s="250">
        <v>81100</v>
      </c>
      <c r="J126" s="286">
        <v>71600</v>
      </c>
      <c r="K126" s="324">
        <v>114700</v>
      </c>
      <c r="L126" s="1">
        <v>378100</v>
      </c>
      <c r="M126" s="359"/>
      <c r="N126" s="394"/>
      <c r="O126" s="3"/>
      <c r="P126" s="3"/>
      <c r="Q126" s="3"/>
      <c r="R126" s="3"/>
    </row>
    <row r="127" spans="1:18" x14ac:dyDescent="0.35">
      <c r="A127" s="120">
        <v>36069</v>
      </c>
      <c r="B127" s="186">
        <v>13800</v>
      </c>
      <c r="C127" s="219">
        <v>253600</v>
      </c>
      <c r="D127" s="5">
        <v>595000</v>
      </c>
      <c r="E127" s="1">
        <v>1190300</v>
      </c>
      <c r="F127" s="5">
        <v>116000</v>
      </c>
      <c r="G127" s="2">
        <v>922800</v>
      </c>
      <c r="H127" s="5">
        <v>3212200</v>
      </c>
      <c r="I127" s="253">
        <v>84200</v>
      </c>
      <c r="J127" s="289">
        <v>82100</v>
      </c>
      <c r="K127" s="327">
        <v>133700</v>
      </c>
      <c r="L127" s="5">
        <v>412000</v>
      </c>
      <c r="M127" s="364"/>
      <c r="N127" s="399"/>
      <c r="O127" s="5"/>
      <c r="P127" s="5"/>
      <c r="Q127" s="5"/>
      <c r="R127" s="5"/>
    </row>
    <row r="128" spans="1:18" x14ac:dyDescent="0.35">
      <c r="A128" s="120">
        <v>36100</v>
      </c>
      <c r="B128" s="186">
        <v>2500</v>
      </c>
      <c r="C128" s="219">
        <v>102500</v>
      </c>
      <c r="D128" s="5">
        <v>333500</v>
      </c>
      <c r="E128" s="1">
        <v>823000</v>
      </c>
      <c r="F128" s="5">
        <v>122000</v>
      </c>
      <c r="G128" s="2">
        <v>488500</v>
      </c>
      <c r="H128" s="5">
        <v>1595400</v>
      </c>
      <c r="I128" s="253">
        <v>41500</v>
      </c>
      <c r="J128" s="289">
        <v>49700</v>
      </c>
      <c r="K128" s="327">
        <v>71000</v>
      </c>
      <c r="L128" s="5">
        <v>195800</v>
      </c>
      <c r="M128" s="364"/>
      <c r="N128" s="399"/>
      <c r="O128" s="5"/>
      <c r="P128" s="5"/>
      <c r="Q128" s="5"/>
      <c r="R128" s="5"/>
    </row>
    <row r="129" spans="1:18" x14ac:dyDescent="0.35">
      <c r="A129" s="120">
        <v>36130</v>
      </c>
      <c r="B129" s="186">
        <v>300</v>
      </c>
      <c r="C129" s="219">
        <v>104300</v>
      </c>
      <c r="D129" s="5">
        <v>262000</v>
      </c>
      <c r="E129" s="1">
        <v>456000</v>
      </c>
      <c r="F129" s="5">
        <v>126000</v>
      </c>
      <c r="G129" s="2">
        <v>271000</v>
      </c>
      <c r="H129" s="5">
        <v>977800</v>
      </c>
      <c r="I129" s="253">
        <v>32700</v>
      </c>
      <c r="J129" s="289">
        <v>27500</v>
      </c>
      <c r="K129" s="327">
        <v>42900</v>
      </c>
      <c r="L129" s="5">
        <v>152300</v>
      </c>
      <c r="M129" s="364"/>
      <c r="N129" s="399"/>
      <c r="O129" s="5"/>
      <c r="P129" s="5"/>
      <c r="Q129" s="5"/>
      <c r="R129" s="5"/>
    </row>
    <row r="130" spans="1:18" x14ac:dyDescent="0.35">
      <c r="A130" s="120">
        <v>36161</v>
      </c>
      <c r="B130" s="186">
        <v>1200</v>
      </c>
      <c r="C130" s="219">
        <v>160100</v>
      </c>
      <c r="D130" s="5">
        <v>364400</v>
      </c>
      <c r="E130" s="1">
        <v>880000</v>
      </c>
      <c r="F130" s="5">
        <v>131000</v>
      </c>
      <c r="G130" s="2">
        <v>462800</v>
      </c>
      <c r="H130" s="5">
        <v>1660900</v>
      </c>
      <c r="I130" s="253">
        <v>65300</v>
      </c>
      <c r="J130" s="289">
        <v>44100</v>
      </c>
      <c r="K130" s="327">
        <v>66500</v>
      </c>
      <c r="L130" s="5">
        <v>229400</v>
      </c>
      <c r="M130" s="364"/>
      <c r="N130" s="399"/>
      <c r="O130" s="5"/>
      <c r="P130" s="5"/>
      <c r="Q130" s="5"/>
      <c r="R130" s="5"/>
    </row>
    <row r="131" spans="1:18" x14ac:dyDescent="0.35">
      <c r="A131" s="120">
        <v>36192</v>
      </c>
      <c r="B131" s="186">
        <v>1600</v>
      </c>
      <c r="C131" s="219">
        <v>41700</v>
      </c>
      <c r="D131" s="5">
        <v>107100</v>
      </c>
      <c r="E131" s="1">
        <v>223000</v>
      </c>
      <c r="F131" s="5">
        <v>56000</v>
      </c>
      <c r="G131" s="2">
        <v>185000</v>
      </c>
      <c r="H131" s="5">
        <v>625900</v>
      </c>
      <c r="I131" s="253">
        <v>10700</v>
      </c>
      <c r="J131" s="289">
        <v>11400</v>
      </c>
      <c r="K131" s="327">
        <v>22700</v>
      </c>
      <c r="L131" s="5">
        <v>75700</v>
      </c>
      <c r="M131" s="364"/>
      <c r="N131" s="399"/>
      <c r="O131" s="5"/>
      <c r="P131" s="5"/>
      <c r="Q131" s="5"/>
      <c r="R131" s="5"/>
    </row>
    <row r="132" spans="1:18" x14ac:dyDescent="0.35">
      <c r="A132" s="120">
        <v>36220</v>
      </c>
      <c r="B132" s="186">
        <v>4700</v>
      </c>
      <c r="C132" s="219">
        <v>86800</v>
      </c>
      <c r="D132" s="5">
        <v>140800</v>
      </c>
      <c r="E132" s="1">
        <v>269000</v>
      </c>
      <c r="F132" s="5">
        <v>72000</v>
      </c>
      <c r="G132" s="2">
        <v>168800</v>
      </c>
      <c r="H132" s="5">
        <v>530300</v>
      </c>
      <c r="I132" s="253">
        <v>17800</v>
      </c>
      <c r="J132" s="289">
        <v>17000</v>
      </c>
      <c r="K132" s="327">
        <v>38200</v>
      </c>
      <c r="L132" s="5">
        <v>109700</v>
      </c>
      <c r="M132" s="364"/>
      <c r="N132" s="399"/>
      <c r="O132" s="5"/>
      <c r="P132" s="5"/>
      <c r="Q132" s="5"/>
      <c r="R132" s="5"/>
    </row>
    <row r="133" spans="1:18" x14ac:dyDescent="0.35">
      <c r="A133" s="120">
        <v>36251</v>
      </c>
      <c r="B133" s="186">
        <v>19500</v>
      </c>
      <c r="C133" s="219">
        <v>117600</v>
      </c>
      <c r="D133" s="5">
        <v>325200</v>
      </c>
      <c r="E133" s="1">
        <v>477000</v>
      </c>
      <c r="F133" s="5">
        <v>126000</v>
      </c>
      <c r="G133" s="2">
        <v>438600</v>
      </c>
      <c r="H133" s="5">
        <v>1589000</v>
      </c>
      <c r="I133" s="253">
        <v>34600</v>
      </c>
      <c r="J133" s="289">
        <v>29700</v>
      </c>
      <c r="K133" s="327">
        <v>68900</v>
      </c>
      <c r="L133" s="5">
        <v>232800</v>
      </c>
      <c r="M133" s="364"/>
      <c r="N133" s="399"/>
      <c r="O133" s="5"/>
      <c r="P133" s="5"/>
      <c r="Q133" s="5"/>
      <c r="R133" s="5"/>
    </row>
    <row r="134" spans="1:18" x14ac:dyDescent="0.35">
      <c r="A134" s="120">
        <v>36281</v>
      </c>
      <c r="B134" s="186">
        <v>0</v>
      </c>
      <c r="C134" s="219">
        <v>144000</v>
      </c>
      <c r="D134" s="5">
        <v>369700</v>
      </c>
      <c r="E134" s="1">
        <v>679000</v>
      </c>
      <c r="F134" s="5">
        <v>164000</v>
      </c>
      <c r="G134" s="2">
        <v>584900</v>
      </c>
      <c r="H134" s="5">
        <v>2133800</v>
      </c>
      <c r="I134" s="253">
        <v>44000</v>
      </c>
      <c r="J134" s="289">
        <v>39900</v>
      </c>
      <c r="K134" s="327">
        <v>72900</v>
      </c>
      <c r="L134" s="5">
        <v>192000</v>
      </c>
      <c r="M134" s="364"/>
      <c r="N134" s="399"/>
      <c r="O134" s="5"/>
      <c r="P134" s="5"/>
      <c r="Q134" s="5"/>
      <c r="R134" s="5"/>
    </row>
    <row r="135" spans="1:18" x14ac:dyDescent="0.35">
      <c r="A135" s="120">
        <v>36312</v>
      </c>
      <c r="B135" s="186">
        <v>0</v>
      </c>
      <c r="C135" s="219">
        <v>152800</v>
      </c>
      <c r="D135" s="5">
        <v>378900</v>
      </c>
      <c r="E135" s="1">
        <v>659000</v>
      </c>
      <c r="F135" s="5">
        <v>166000</v>
      </c>
      <c r="G135" s="2">
        <v>464100</v>
      </c>
      <c r="H135" s="5">
        <v>2091500</v>
      </c>
      <c r="I135" s="253">
        <v>39100</v>
      </c>
      <c r="J135" s="289">
        <v>45100</v>
      </c>
      <c r="K135" s="327">
        <v>74300</v>
      </c>
      <c r="L135" s="5">
        <v>170800</v>
      </c>
      <c r="M135" s="364"/>
      <c r="N135" s="399"/>
      <c r="O135" s="5"/>
      <c r="P135" s="5"/>
      <c r="Q135" s="5"/>
      <c r="R135" s="5"/>
    </row>
    <row r="136" spans="1:18" x14ac:dyDescent="0.35">
      <c r="A136" s="120">
        <v>36342</v>
      </c>
      <c r="B136" s="186">
        <v>10600</v>
      </c>
      <c r="C136" s="219">
        <v>206300</v>
      </c>
      <c r="D136" s="5">
        <v>612800</v>
      </c>
      <c r="E136" s="1">
        <v>1105000</v>
      </c>
      <c r="F136" s="5">
        <v>211000</v>
      </c>
      <c r="G136" s="2">
        <v>1083200</v>
      </c>
      <c r="H136" s="5">
        <v>3553600</v>
      </c>
      <c r="I136" s="253">
        <v>38500</v>
      </c>
      <c r="J136" s="289">
        <v>84300</v>
      </c>
      <c r="K136" s="327">
        <v>123200</v>
      </c>
      <c r="L136" s="5">
        <v>321900</v>
      </c>
      <c r="M136" s="364"/>
      <c r="N136" s="399"/>
      <c r="O136" s="5"/>
      <c r="P136" s="5"/>
      <c r="Q136" s="5"/>
      <c r="R136" s="5"/>
    </row>
    <row r="137" spans="1:18" x14ac:dyDescent="0.35">
      <c r="A137" s="120">
        <v>36373</v>
      </c>
      <c r="B137" s="186">
        <v>18900</v>
      </c>
      <c r="C137" s="219">
        <v>195700</v>
      </c>
      <c r="D137" s="5">
        <v>578100</v>
      </c>
      <c r="E137" s="1">
        <v>964000</v>
      </c>
      <c r="F137" s="5">
        <v>195000</v>
      </c>
      <c r="G137" s="2">
        <v>872700</v>
      </c>
      <c r="H137" s="5">
        <v>3332100</v>
      </c>
      <c r="I137" s="253">
        <v>39300</v>
      </c>
      <c r="J137" s="289">
        <v>71800</v>
      </c>
      <c r="K137" s="327">
        <v>97300</v>
      </c>
      <c r="L137" s="5">
        <v>258900</v>
      </c>
      <c r="M137" s="364"/>
      <c r="N137" s="399"/>
      <c r="O137" s="5"/>
      <c r="P137" s="5"/>
      <c r="Q137" s="5"/>
      <c r="R137" s="5"/>
    </row>
    <row r="138" spans="1:18" x14ac:dyDescent="0.35">
      <c r="A138" s="120">
        <v>36404</v>
      </c>
      <c r="B138" s="186">
        <v>19600</v>
      </c>
      <c r="C138" s="219">
        <v>298300</v>
      </c>
      <c r="D138" s="5">
        <v>797100</v>
      </c>
      <c r="E138" s="1">
        <v>1033000</v>
      </c>
      <c r="F138" s="5">
        <v>225000</v>
      </c>
      <c r="G138" s="2">
        <v>886000</v>
      </c>
      <c r="H138" s="5">
        <v>3189100</v>
      </c>
      <c r="I138" s="253">
        <v>48700</v>
      </c>
      <c r="J138" s="289">
        <v>102500</v>
      </c>
      <c r="K138" s="327">
        <v>108500</v>
      </c>
      <c r="L138" s="5">
        <v>297100</v>
      </c>
      <c r="M138" s="364"/>
      <c r="N138" s="399"/>
      <c r="O138" s="5"/>
      <c r="P138" s="5"/>
      <c r="Q138" s="5"/>
      <c r="R138" s="5"/>
    </row>
    <row r="139" spans="1:18" x14ac:dyDescent="0.35">
      <c r="A139" s="120">
        <v>36434</v>
      </c>
      <c r="B139" s="188">
        <v>22100</v>
      </c>
      <c r="C139" s="221">
        <v>159800</v>
      </c>
      <c r="D139" s="7">
        <v>409500</v>
      </c>
      <c r="E139" s="1">
        <v>994000</v>
      </c>
      <c r="F139" s="7">
        <v>192000</v>
      </c>
      <c r="G139" s="2">
        <v>853000</v>
      </c>
      <c r="H139" s="8">
        <v>2858600</v>
      </c>
      <c r="I139" s="255">
        <v>29300</v>
      </c>
      <c r="J139" s="291">
        <v>83300</v>
      </c>
      <c r="K139" s="329">
        <v>110300</v>
      </c>
      <c r="L139" s="7">
        <v>257800</v>
      </c>
      <c r="M139" s="366"/>
      <c r="N139" s="401"/>
      <c r="O139" s="7"/>
      <c r="P139" s="7"/>
      <c r="Q139" s="7"/>
      <c r="R139" s="7"/>
    </row>
    <row r="140" spans="1:18" x14ac:dyDescent="0.35">
      <c r="A140" s="120">
        <v>36465</v>
      </c>
      <c r="B140" s="188">
        <v>5100</v>
      </c>
      <c r="C140" s="221">
        <v>223700</v>
      </c>
      <c r="D140" s="7">
        <v>332800</v>
      </c>
      <c r="E140" s="1">
        <v>633000</v>
      </c>
      <c r="F140" s="7">
        <v>151000</v>
      </c>
      <c r="G140" s="2">
        <v>482000</v>
      </c>
      <c r="H140" s="8">
        <v>1801200</v>
      </c>
      <c r="I140" s="255">
        <v>39000</v>
      </c>
      <c r="J140" s="291">
        <v>59400</v>
      </c>
      <c r="K140" s="329">
        <v>81700</v>
      </c>
      <c r="L140" s="7">
        <v>213600</v>
      </c>
      <c r="M140" s="366"/>
      <c r="N140" s="401"/>
      <c r="O140" s="7"/>
      <c r="P140" s="7"/>
      <c r="Q140" s="7"/>
      <c r="R140" s="7"/>
    </row>
    <row r="141" spans="1:18" x14ac:dyDescent="0.35">
      <c r="A141" s="120">
        <v>36495</v>
      </c>
      <c r="B141" s="188">
        <v>16200</v>
      </c>
      <c r="C141" s="221">
        <v>129600</v>
      </c>
      <c r="D141" s="7">
        <v>287100</v>
      </c>
      <c r="E141" s="1">
        <v>695000</v>
      </c>
      <c r="F141" s="7">
        <v>125000</v>
      </c>
      <c r="G141" s="2">
        <v>292200</v>
      </c>
      <c r="H141" s="8">
        <v>2522400</v>
      </c>
      <c r="I141" s="255">
        <v>46400</v>
      </c>
      <c r="J141" s="291">
        <v>44500</v>
      </c>
      <c r="K141" s="329">
        <v>100400</v>
      </c>
      <c r="L141" s="7">
        <v>274500</v>
      </c>
      <c r="M141" s="366"/>
      <c r="N141" s="401"/>
      <c r="O141" s="7"/>
      <c r="P141" s="7"/>
      <c r="Q141" s="7"/>
      <c r="R141" s="7"/>
    </row>
    <row r="142" spans="1:18" x14ac:dyDescent="0.35">
      <c r="A142" s="120">
        <v>36526</v>
      </c>
      <c r="B142" s="188">
        <v>16300</v>
      </c>
      <c r="C142" s="221">
        <v>147500</v>
      </c>
      <c r="D142" s="7">
        <v>261400</v>
      </c>
      <c r="E142" s="1">
        <v>510500</v>
      </c>
      <c r="F142" s="7">
        <v>136000</v>
      </c>
      <c r="G142" s="2">
        <v>56800</v>
      </c>
      <c r="H142" s="8">
        <v>2188700</v>
      </c>
      <c r="I142" s="255">
        <v>27700</v>
      </c>
      <c r="J142" s="291">
        <v>23300</v>
      </c>
      <c r="K142" s="329">
        <v>34800</v>
      </c>
      <c r="L142" s="7">
        <v>149700</v>
      </c>
      <c r="M142" s="366"/>
      <c r="N142" s="401"/>
      <c r="O142" s="7"/>
      <c r="P142" s="7"/>
      <c r="Q142" s="7"/>
      <c r="R142" s="7"/>
    </row>
    <row r="143" spans="1:18" x14ac:dyDescent="0.35">
      <c r="A143" s="120">
        <v>36557</v>
      </c>
      <c r="B143" s="188">
        <v>100</v>
      </c>
      <c r="C143" s="221">
        <v>22600</v>
      </c>
      <c r="D143" s="7">
        <v>62000</v>
      </c>
      <c r="E143" s="1">
        <v>179000</v>
      </c>
      <c r="F143" s="7">
        <v>47000</v>
      </c>
      <c r="G143" s="2">
        <v>6900</v>
      </c>
      <c r="H143" s="8">
        <v>137000</v>
      </c>
      <c r="I143" s="255">
        <v>6100</v>
      </c>
      <c r="J143" s="291">
        <v>0</v>
      </c>
      <c r="K143" s="329">
        <v>500</v>
      </c>
      <c r="L143" s="7">
        <v>52200</v>
      </c>
      <c r="M143" s="366"/>
      <c r="N143" s="401"/>
      <c r="O143" s="7"/>
      <c r="P143" s="7"/>
      <c r="Q143" s="7"/>
      <c r="R143" s="7"/>
    </row>
    <row r="144" spans="1:18" x14ac:dyDescent="0.35">
      <c r="A144" s="120">
        <v>36586</v>
      </c>
      <c r="B144" s="188">
        <v>3700</v>
      </c>
      <c r="C144" s="221">
        <v>71800</v>
      </c>
      <c r="D144" s="7">
        <v>117400</v>
      </c>
      <c r="E144" s="1">
        <v>344000</v>
      </c>
      <c r="F144" s="7">
        <v>78000</v>
      </c>
      <c r="G144" s="2">
        <v>9900</v>
      </c>
      <c r="H144" s="8">
        <v>808700</v>
      </c>
      <c r="I144" s="255">
        <v>13100</v>
      </c>
      <c r="J144" s="291">
        <v>17400</v>
      </c>
      <c r="K144" s="329">
        <v>44500</v>
      </c>
      <c r="L144" s="7">
        <v>117200</v>
      </c>
      <c r="M144" s="366"/>
      <c r="N144" s="401"/>
      <c r="O144" s="7"/>
      <c r="P144" s="7"/>
      <c r="Q144" s="7"/>
      <c r="R144" s="7"/>
    </row>
    <row r="145" spans="1:18" x14ac:dyDescent="0.35">
      <c r="A145" s="120">
        <v>36617</v>
      </c>
      <c r="B145" s="186">
        <v>14100</v>
      </c>
      <c r="C145" s="219">
        <v>103300</v>
      </c>
      <c r="D145" s="5">
        <v>207100</v>
      </c>
      <c r="E145" s="1">
        <v>612000</v>
      </c>
      <c r="F145" s="5">
        <v>122000</v>
      </c>
      <c r="G145" s="2">
        <v>13500</v>
      </c>
      <c r="H145" s="5">
        <v>1894700</v>
      </c>
      <c r="I145" s="253">
        <v>13800</v>
      </c>
      <c r="J145" s="289">
        <v>22600</v>
      </c>
      <c r="K145" s="327">
        <v>65300</v>
      </c>
      <c r="L145" s="5">
        <v>174000</v>
      </c>
      <c r="M145" s="364"/>
      <c r="N145" s="399"/>
      <c r="O145" s="5"/>
      <c r="P145" s="5"/>
      <c r="Q145" s="5"/>
      <c r="R145" s="5"/>
    </row>
    <row r="146" spans="1:18" x14ac:dyDescent="0.35">
      <c r="A146" s="120">
        <v>36647</v>
      </c>
      <c r="B146" s="186">
        <v>2200</v>
      </c>
      <c r="C146" s="219">
        <v>187500</v>
      </c>
      <c r="D146" s="5">
        <v>276200</v>
      </c>
      <c r="E146" s="1">
        <v>797000</v>
      </c>
      <c r="F146" s="5">
        <v>141000</v>
      </c>
      <c r="G146" s="2">
        <v>9200</v>
      </c>
      <c r="H146" s="5">
        <v>2516300</v>
      </c>
      <c r="I146" s="253">
        <v>51700</v>
      </c>
      <c r="J146" s="289">
        <v>30400</v>
      </c>
      <c r="K146" s="327">
        <v>89000</v>
      </c>
      <c r="L146" s="5">
        <v>203800</v>
      </c>
      <c r="M146" s="364"/>
      <c r="N146" s="399"/>
      <c r="O146" s="5"/>
      <c r="P146" s="5"/>
      <c r="Q146" s="5"/>
      <c r="R146" s="5"/>
    </row>
    <row r="147" spans="1:18" x14ac:dyDescent="0.35">
      <c r="A147" s="120">
        <v>36678</v>
      </c>
      <c r="B147" s="186">
        <v>20400</v>
      </c>
      <c r="C147" s="219">
        <v>290200</v>
      </c>
      <c r="D147" s="5">
        <v>494900</v>
      </c>
      <c r="E147" s="1">
        <v>1134000</v>
      </c>
      <c r="F147" s="5">
        <v>168000</v>
      </c>
      <c r="G147" s="2">
        <v>6400</v>
      </c>
      <c r="H147" s="5">
        <v>3542000</v>
      </c>
      <c r="I147" s="253">
        <v>43300</v>
      </c>
      <c r="J147" s="289">
        <v>87500</v>
      </c>
      <c r="K147" s="327">
        <v>128300</v>
      </c>
      <c r="L147" s="5">
        <v>371400</v>
      </c>
      <c r="M147" s="364"/>
      <c r="N147" s="399"/>
      <c r="O147" s="5"/>
      <c r="P147" s="5"/>
      <c r="Q147" s="5"/>
      <c r="R147" s="5"/>
    </row>
    <row r="148" spans="1:18" x14ac:dyDescent="0.35">
      <c r="A148" s="120">
        <v>36708</v>
      </c>
      <c r="B148" s="186">
        <v>26800</v>
      </c>
      <c r="C148" s="219">
        <v>207700</v>
      </c>
      <c r="D148" s="5">
        <v>436300</v>
      </c>
      <c r="E148" s="1">
        <v>1112000</v>
      </c>
      <c r="F148" s="5">
        <v>114000</v>
      </c>
      <c r="G148" s="2">
        <v>3700</v>
      </c>
      <c r="H148" s="5">
        <v>3423200</v>
      </c>
      <c r="I148" s="253">
        <v>59300</v>
      </c>
      <c r="J148" s="289">
        <v>78600</v>
      </c>
      <c r="K148" s="327">
        <v>124100</v>
      </c>
      <c r="L148" s="5">
        <v>337500</v>
      </c>
      <c r="M148" s="364"/>
      <c r="N148" s="399"/>
      <c r="O148" s="5"/>
      <c r="P148" s="5"/>
      <c r="Q148" s="5"/>
      <c r="R148" s="5"/>
    </row>
    <row r="149" spans="1:18" x14ac:dyDescent="0.35">
      <c r="A149" s="120">
        <v>36739</v>
      </c>
      <c r="B149" s="186">
        <v>13800</v>
      </c>
      <c r="C149" s="219">
        <v>311200</v>
      </c>
      <c r="D149" s="5">
        <v>662500</v>
      </c>
      <c r="E149" s="1">
        <v>1549000</v>
      </c>
      <c r="F149" s="5">
        <v>131000</v>
      </c>
      <c r="G149" s="2">
        <v>8100</v>
      </c>
      <c r="H149" s="5">
        <v>3806700</v>
      </c>
      <c r="I149" s="253">
        <v>137600</v>
      </c>
      <c r="J149" s="289">
        <v>105400</v>
      </c>
      <c r="K149" s="327">
        <v>138000</v>
      </c>
      <c r="L149" s="5">
        <v>347200</v>
      </c>
      <c r="M149" s="364"/>
      <c r="N149" s="399"/>
      <c r="O149" s="5"/>
      <c r="P149" s="5"/>
      <c r="Q149" s="5"/>
      <c r="R149" s="5"/>
    </row>
    <row r="150" spans="1:18" x14ac:dyDescent="0.35">
      <c r="A150" s="120">
        <v>36770</v>
      </c>
      <c r="B150" s="186">
        <v>14600</v>
      </c>
      <c r="C150" s="219">
        <v>244600</v>
      </c>
      <c r="D150" s="5">
        <v>513500</v>
      </c>
      <c r="E150" s="1">
        <v>1227000</v>
      </c>
      <c r="F150" s="5">
        <v>102000</v>
      </c>
      <c r="G150" s="2">
        <v>5300</v>
      </c>
      <c r="H150" s="5">
        <v>2978800</v>
      </c>
      <c r="I150" s="253">
        <v>100100</v>
      </c>
      <c r="J150" s="289">
        <v>67500</v>
      </c>
      <c r="K150" s="327">
        <v>83500</v>
      </c>
      <c r="L150" s="5">
        <v>286300</v>
      </c>
      <c r="M150" s="364"/>
      <c r="N150" s="399"/>
      <c r="O150" s="5"/>
      <c r="P150" s="5"/>
      <c r="Q150" s="5"/>
      <c r="R150" s="5"/>
    </row>
    <row r="151" spans="1:18" x14ac:dyDescent="0.35">
      <c r="A151" s="120">
        <v>36800</v>
      </c>
      <c r="B151" s="186">
        <v>8800</v>
      </c>
      <c r="C151" s="219">
        <v>242400</v>
      </c>
      <c r="D151" s="5">
        <v>459500</v>
      </c>
      <c r="E151" s="1">
        <v>954000</v>
      </c>
      <c r="F151" s="5">
        <v>79000</v>
      </c>
      <c r="G151" s="2">
        <v>237600</v>
      </c>
      <c r="H151" s="5">
        <v>1453200</v>
      </c>
      <c r="I151" s="253">
        <v>110700</v>
      </c>
      <c r="J151" s="289">
        <v>68900</v>
      </c>
      <c r="K151" s="327">
        <v>89000</v>
      </c>
      <c r="L151" s="5">
        <v>278000</v>
      </c>
      <c r="M151" s="364"/>
      <c r="N151" s="399"/>
      <c r="O151" s="5"/>
      <c r="P151" s="5"/>
      <c r="Q151" s="5"/>
      <c r="R151" s="5"/>
    </row>
    <row r="152" spans="1:18" x14ac:dyDescent="0.35">
      <c r="A152" s="120">
        <v>36831</v>
      </c>
      <c r="B152" s="186">
        <v>2100</v>
      </c>
      <c r="C152" s="219">
        <v>200600</v>
      </c>
      <c r="D152" s="5">
        <v>568300</v>
      </c>
      <c r="E152" s="1">
        <v>1021000</v>
      </c>
      <c r="F152" s="5">
        <v>78000</v>
      </c>
      <c r="G152" s="2">
        <v>236000</v>
      </c>
      <c r="H152" s="5">
        <v>1715300</v>
      </c>
      <c r="I152" s="253">
        <v>93400</v>
      </c>
      <c r="J152" s="289">
        <v>63200</v>
      </c>
      <c r="K152" s="327">
        <v>93700</v>
      </c>
      <c r="L152" s="5">
        <v>266400</v>
      </c>
      <c r="M152" s="364"/>
      <c r="N152" s="399"/>
      <c r="O152" s="5"/>
      <c r="P152" s="5"/>
      <c r="Q152" s="5"/>
      <c r="R152" s="5"/>
    </row>
    <row r="153" spans="1:18" x14ac:dyDescent="0.35">
      <c r="A153" s="120">
        <v>36861</v>
      </c>
      <c r="B153" s="186">
        <v>100</v>
      </c>
      <c r="C153" s="219">
        <v>132500</v>
      </c>
      <c r="D153" s="5">
        <v>320500</v>
      </c>
      <c r="E153" s="1">
        <v>735000</v>
      </c>
      <c r="F153" s="5">
        <v>47000</v>
      </c>
      <c r="G153" s="2">
        <v>235000</v>
      </c>
      <c r="H153" s="5">
        <v>1266600</v>
      </c>
      <c r="I153" s="253">
        <v>13300</v>
      </c>
      <c r="J153" s="289">
        <v>14500</v>
      </c>
      <c r="K153" s="327">
        <v>17000</v>
      </c>
      <c r="L153" s="5">
        <v>144400</v>
      </c>
      <c r="M153" s="364"/>
      <c r="N153" s="399"/>
      <c r="O153" s="5"/>
      <c r="P153" s="5"/>
      <c r="Q153" s="5"/>
      <c r="R153" s="5"/>
    </row>
    <row r="154" spans="1:18" x14ac:dyDescent="0.35">
      <c r="A154" s="120">
        <v>36892</v>
      </c>
      <c r="B154" s="186">
        <v>100</v>
      </c>
      <c r="C154" s="219">
        <v>138000</v>
      </c>
      <c r="D154" s="5">
        <v>192200</v>
      </c>
      <c r="E154" s="1">
        <v>486000</v>
      </c>
      <c r="F154" s="5">
        <v>48000</v>
      </c>
      <c r="G154" s="2">
        <v>2300</v>
      </c>
      <c r="H154" s="5">
        <v>862700</v>
      </c>
      <c r="I154" s="253">
        <v>28200</v>
      </c>
      <c r="J154" s="289">
        <v>44200</v>
      </c>
      <c r="K154" s="327">
        <v>46200</v>
      </c>
      <c r="L154" s="5">
        <v>102700</v>
      </c>
      <c r="M154" s="364"/>
      <c r="N154" s="399"/>
      <c r="O154" s="5"/>
      <c r="P154" s="5"/>
      <c r="Q154" s="5"/>
      <c r="R154" s="5"/>
    </row>
    <row r="155" spans="1:18" x14ac:dyDescent="0.35">
      <c r="A155" s="120">
        <v>36923</v>
      </c>
      <c r="B155" s="186">
        <v>0</v>
      </c>
      <c r="C155" s="219">
        <v>89300</v>
      </c>
      <c r="D155" s="5">
        <v>105500</v>
      </c>
      <c r="E155" s="1">
        <v>322000</v>
      </c>
      <c r="F155" s="5">
        <v>19000</v>
      </c>
      <c r="G155" s="2">
        <v>2500</v>
      </c>
      <c r="H155" s="5">
        <v>371100</v>
      </c>
      <c r="I155" s="253">
        <v>16200</v>
      </c>
      <c r="J155" s="289">
        <v>24500</v>
      </c>
      <c r="K155" s="327">
        <v>30200</v>
      </c>
      <c r="L155" s="5">
        <v>82500</v>
      </c>
      <c r="M155" s="364"/>
      <c r="N155" s="399"/>
      <c r="O155" s="5"/>
      <c r="P155" s="5"/>
      <c r="Q155" s="5"/>
      <c r="R155" s="5"/>
    </row>
    <row r="156" spans="1:18" x14ac:dyDescent="0.35">
      <c r="A156" s="120">
        <v>36951</v>
      </c>
      <c r="B156" s="186">
        <v>3600</v>
      </c>
      <c r="C156" s="219">
        <v>127900</v>
      </c>
      <c r="D156" s="5">
        <v>193700</v>
      </c>
      <c r="E156" s="1">
        <v>219373.6</v>
      </c>
      <c r="F156" s="5">
        <v>40000</v>
      </c>
      <c r="G156" s="2">
        <v>294500</v>
      </c>
      <c r="H156" s="5">
        <v>800700</v>
      </c>
      <c r="I156" s="253">
        <v>24000</v>
      </c>
      <c r="J156" s="289">
        <v>38900</v>
      </c>
      <c r="K156" s="327">
        <v>48100</v>
      </c>
      <c r="L156" s="5">
        <v>127600</v>
      </c>
      <c r="M156" s="364">
        <v>56474</v>
      </c>
      <c r="N156" s="399"/>
      <c r="O156" s="5"/>
      <c r="P156" s="5"/>
      <c r="Q156" s="5"/>
      <c r="R156" s="5"/>
    </row>
    <row r="157" spans="1:18" x14ac:dyDescent="0.35">
      <c r="A157" s="120">
        <v>36982</v>
      </c>
      <c r="B157" s="189">
        <v>1500</v>
      </c>
      <c r="C157" s="222">
        <v>224300</v>
      </c>
      <c r="D157" s="9">
        <v>447900</v>
      </c>
      <c r="E157" s="1">
        <v>466004</v>
      </c>
      <c r="F157" s="9">
        <v>83000</v>
      </c>
      <c r="G157" s="2">
        <v>462700</v>
      </c>
      <c r="H157" s="9">
        <v>1491300</v>
      </c>
      <c r="I157" s="256">
        <v>54700</v>
      </c>
      <c r="J157" s="292">
        <v>68300</v>
      </c>
      <c r="K157" s="327">
        <v>73600</v>
      </c>
      <c r="L157" s="5">
        <v>267100</v>
      </c>
      <c r="M157" s="364">
        <v>303464</v>
      </c>
      <c r="N157" s="399"/>
      <c r="O157" s="5"/>
      <c r="P157" s="5"/>
      <c r="Q157" s="5"/>
      <c r="R157" s="5"/>
    </row>
    <row r="158" spans="1:18" x14ac:dyDescent="0.35">
      <c r="A158" s="120">
        <v>37012</v>
      </c>
      <c r="B158" s="189">
        <v>30400</v>
      </c>
      <c r="C158" s="222">
        <v>287000</v>
      </c>
      <c r="D158" s="9">
        <v>627500</v>
      </c>
      <c r="E158" s="1">
        <v>770141</v>
      </c>
      <c r="F158" s="9">
        <v>152000</v>
      </c>
      <c r="G158" s="2">
        <v>927800</v>
      </c>
      <c r="H158" s="9">
        <v>2770800</v>
      </c>
      <c r="I158" s="257">
        <v>55100</v>
      </c>
      <c r="J158" s="289">
        <v>55500</v>
      </c>
      <c r="K158" s="327">
        <v>85100</v>
      </c>
      <c r="L158" s="5">
        <v>268300</v>
      </c>
      <c r="M158" s="364">
        <v>647394</v>
      </c>
      <c r="N158" s="399"/>
      <c r="O158" s="5"/>
      <c r="P158" s="5"/>
      <c r="Q158" s="5"/>
      <c r="R158" s="5"/>
    </row>
    <row r="159" spans="1:18" x14ac:dyDescent="0.35">
      <c r="A159" s="120">
        <v>37043</v>
      </c>
      <c r="B159" s="189">
        <v>103900</v>
      </c>
      <c r="C159" s="222">
        <v>282300</v>
      </c>
      <c r="D159" s="9">
        <v>528800</v>
      </c>
      <c r="E159" s="1">
        <v>650012</v>
      </c>
      <c r="F159" s="9">
        <v>112000</v>
      </c>
      <c r="G159" s="2">
        <v>706200</v>
      </c>
      <c r="H159" s="9">
        <v>3214300</v>
      </c>
      <c r="I159" s="257">
        <v>44700</v>
      </c>
      <c r="J159" s="289">
        <v>53600</v>
      </c>
      <c r="K159" s="327">
        <v>106800</v>
      </c>
      <c r="L159" s="5">
        <v>294600</v>
      </c>
      <c r="M159" s="364">
        <v>325754</v>
      </c>
      <c r="N159" s="399"/>
      <c r="O159" s="5"/>
      <c r="P159" s="5"/>
      <c r="Q159" s="5"/>
      <c r="R159" s="5"/>
    </row>
    <row r="160" spans="1:18" x14ac:dyDescent="0.35">
      <c r="A160" s="120">
        <v>37073</v>
      </c>
      <c r="B160" s="189">
        <v>106400</v>
      </c>
      <c r="C160" s="222">
        <v>262700</v>
      </c>
      <c r="D160" s="9">
        <v>564900</v>
      </c>
      <c r="E160" s="1">
        <v>773956</v>
      </c>
      <c r="F160" s="9">
        <v>132000</v>
      </c>
      <c r="G160" s="2">
        <v>1059300</v>
      </c>
      <c r="H160" s="9">
        <v>3345400</v>
      </c>
      <c r="I160" s="257">
        <v>57900</v>
      </c>
      <c r="J160" s="289">
        <v>123900</v>
      </c>
      <c r="K160" s="327">
        <v>118800</v>
      </c>
      <c r="L160" s="5">
        <v>280200</v>
      </c>
      <c r="M160" s="364">
        <v>639914</v>
      </c>
      <c r="N160" s="399"/>
      <c r="O160" s="5"/>
      <c r="P160" s="5"/>
      <c r="Q160" s="5"/>
      <c r="R160" s="5"/>
    </row>
    <row r="161" spans="1:18" x14ac:dyDescent="0.35">
      <c r="A161" s="120">
        <v>37104</v>
      </c>
      <c r="B161" s="189">
        <v>117100</v>
      </c>
      <c r="C161" s="222">
        <v>348100</v>
      </c>
      <c r="D161" s="9">
        <v>867500</v>
      </c>
      <c r="E161" s="1">
        <v>956318</v>
      </c>
      <c r="F161" s="9">
        <v>165000</v>
      </c>
      <c r="G161" s="2">
        <v>1097600</v>
      </c>
      <c r="H161" s="9">
        <v>4602000</v>
      </c>
      <c r="I161" s="257">
        <v>40600</v>
      </c>
      <c r="J161" s="293">
        <v>108900</v>
      </c>
      <c r="K161" s="330">
        <v>106900</v>
      </c>
      <c r="L161" s="10">
        <v>352400</v>
      </c>
      <c r="M161" s="367">
        <v>713966</v>
      </c>
      <c r="N161" s="402"/>
      <c r="O161" s="10"/>
      <c r="P161" s="10"/>
      <c r="Q161" s="10"/>
      <c r="R161" s="10"/>
    </row>
    <row r="162" spans="1:18" x14ac:dyDescent="0.35">
      <c r="A162" s="120">
        <v>37135</v>
      </c>
      <c r="B162" s="189">
        <v>59300</v>
      </c>
      <c r="C162" s="222">
        <v>291400</v>
      </c>
      <c r="D162" s="9">
        <v>547000</v>
      </c>
      <c r="E162" s="1">
        <v>673200</v>
      </c>
      <c r="F162" s="9">
        <v>109000</v>
      </c>
      <c r="G162" s="2">
        <v>760400</v>
      </c>
      <c r="H162" s="9">
        <v>2470500</v>
      </c>
      <c r="I162" s="257">
        <v>37900</v>
      </c>
      <c r="J162" s="293">
        <v>76600</v>
      </c>
      <c r="K162" s="330">
        <v>53100</v>
      </c>
      <c r="L162" s="10">
        <v>275100</v>
      </c>
      <c r="M162" s="367">
        <v>507742</v>
      </c>
      <c r="N162" s="402"/>
      <c r="O162" s="10"/>
      <c r="P162" s="10"/>
      <c r="Q162" s="10"/>
      <c r="R162" s="10"/>
    </row>
    <row r="163" spans="1:18" x14ac:dyDescent="0.35">
      <c r="A163" s="120">
        <v>37165</v>
      </c>
      <c r="B163" s="190">
        <v>52300</v>
      </c>
      <c r="C163" s="223">
        <v>237900</v>
      </c>
      <c r="D163" s="11">
        <v>406500</v>
      </c>
      <c r="E163" s="1">
        <v>489117.2</v>
      </c>
      <c r="F163" s="11">
        <v>85000</v>
      </c>
      <c r="G163" s="2">
        <v>716000</v>
      </c>
      <c r="H163" s="11">
        <v>2204100</v>
      </c>
      <c r="I163" s="258">
        <v>49000</v>
      </c>
      <c r="J163" s="294">
        <v>56400</v>
      </c>
      <c r="K163" s="331">
        <v>64800</v>
      </c>
      <c r="L163" s="11">
        <v>252700</v>
      </c>
      <c r="M163" s="368">
        <v>333159.2</v>
      </c>
      <c r="N163" s="403"/>
      <c r="O163" s="11"/>
      <c r="P163" s="11"/>
      <c r="Q163" s="11"/>
      <c r="R163" s="11"/>
    </row>
    <row r="164" spans="1:18" x14ac:dyDescent="0.35">
      <c r="A164" s="120">
        <v>37196</v>
      </c>
      <c r="B164" s="190">
        <v>2900</v>
      </c>
      <c r="C164" s="223">
        <v>149400</v>
      </c>
      <c r="D164" s="11">
        <v>231800</v>
      </c>
      <c r="E164" s="1">
        <v>234198.8</v>
      </c>
      <c r="F164" s="11">
        <v>47000</v>
      </c>
      <c r="G164" s="2">
        <v>288100</v>
      </c>
      <c r="H164" s="11">
        <v>1200600</v>
      </c>
      <c r="I164" s="258">
        <v>32200</v>
      </c>
      <c r="J164" s="294">
        <v>20100</v>
      </c>
      <c r="K164" s="331">
        <v>29500</v>
      </c>
      <c r="L164" s="11">
        <v>171900</v>
      </c>
      <c r="M164" s="368">
        <v>73079.600000000006</v>
      </c>
      <c r="N164" s="403"/>
      <c r="O164" s="11"/>
      <c r="P164" s="11"/>
      <c r="Q164" s="11"/>
      <c r="R164" s="11"/>
    </row>
    <row r="165" spans="1:18" x14ac:dyDescent="0.35">
      <c r="A165" s="121">
        <v>37226</v>
      </c>
      <c r="B165" s="190">
        <v>52100</v>
      </c>
      <c r="C165" s="223">
        <v>102500</v>
      </c>
      <c r="D165" s="11">
        <v>106300</v>
      </c>
      <c r="E165" s="1">
        <v>267709.2</v>
      </c>
      <c r="F165" s="11">
        <v>43000</v>
      </c>
      <c r="G165" s="2">
        <v>124300</v>
      </c>
      <c r="H165" s="11">
        <v>499500</v>
      </c>
      <c r="I165" s="258">
        <v>19300</v>
      </c>
      <c r="J165" s="294">
        <v>2000</v>
      </c>
      <c r="K165" s="331">
        <v>3200</v>
      </c>
      <c r="L165" s="11">
        <v>23800</v>
      </c>
      <c r="M165" s="368">
        <v>105617.60000000001</v>
      </c>
      <c r="N165" s="403"/>
      <c r="O165" s="11"/>
      <c r="P165" s="11"/>
      <c r="Q165" s="11"/>
      <c r="R165" s="11"/>
    </row>
    <row r="166" spans="1:18" x14ac:dyDescent="0.35">
      <c r="A166" s="121">
        <v>37257</v>
      </c>
      <c r="B166" s="190">
        <v>16400</v>
      </c>
      <c r="C166" s="223">
        <v>308800</v>
      </c>
      <c r="D166" s="11">
        <v>227400</v>
      </c>
      <c r="E166" s="1">
        <v>402424</v>
      </c>
      <c r="F166" s="11">
        <v>51000</v>
      </c>
      <c r="G166" s="2">
        <v>243000</v>
      </c>
      <c r="H166" s="11">
        <v>1110200</v>
      </c>
      <c r="I166" s="258">
        <v>52200</v>
      </c>
      <c r="J166" s="294">
        <v>28400</v>
      </c>
      <c r="K166" s="331">
        <v>43700</v>
      </c>
      <c r="L166" s="11">
        <v>96500</v>
      </c>
      <c r="M166" s="368">
        <v>177575.2</v>
      </c>
      <c r="N166" s="403"/>
      <c r="O166" s="11"/>
      <c r="P166" s="11"/>
      <c r="Q166" s="11"/>
      <c r="R166" s="11"/>
    </row>
    <row r="167" spans="1:18" x14ac:dyDescent="0.35">
      <c r="A167" s="121">
        <v>37288</v>
      </c>
      <c r="B167" s="190">
        <v>29400</v>
      </c>
      <c r="C167" s="223">
        <v>268200</v>
      </c>
      <c r="D167" s="11">
        <v>407000</v>
      </c>
      <c r="E167" s="1">
        <v>479617.6</v>
      </c>
      <c r="F167" s="11">
        <v>76000</v>
      </c>
      <c r="G167" s="2">
        <v>420000</v>
      </c>
      <c r="H167" s="11">
        <v>1683700</v>
      </c>
      <c r="I167" s="258">
        <v>45000</v>
      </c>
      <c r="J167" s="294">
        <v>24200</v>
      </c>
      <c r="K167" s="331">
        <v>41600</v>
      </c>
      <c r="L167" s="11">
        <v>159700</v>
      </c>
      <c r="M167" s="368">
        <v>373252</v>
      </c>
      <c r="N167" s="403"/>
      <c r="O167" s="11"/>
      <c r="P167" s="11"/>
      <c r="Q167" s="11"/>
      <c r="R167" s="11"/>
    </row>
    <row r="168" spans="1:18" x14ac:dyDescent="0.35">
      <c r="A168" s="121">
        <v>37316</v>
      </c>
      <c r="B168" s="190">
        <v>39200</v>
      </c>
      <c r="C168" s="223">
        <v>316800</v>
      </c>
      <c r="D168" s="11">
        <v>607500</v>
      </c>
      <c r="E168" s="1">
        <v>460618.4</v>
      </c>
      <c r="F168" s="11">
        <v>90000</v>
      </c>
      <c r="G168" s="2">
        <v>821300</v>
      </c>
      <c r="H168" s="11">
        <v>2664700</v>
      </c>
      <c r="I168" s="258">
        <v>50600</v>
      </c>
      <c r="J168" s="294">
        <v>69500</v>
      </c>
      <c r="K168" s="331">
        <v>91900</v>
      </c>
      <c r="L168" s="11">
        <v>250200</v>
      </c>
      <c r="M168" s="368">
        <v>430025.2</v>
      </c>
      <c r="N168" s="403"/>
      <c r="O168" s="11"/>
      <c r="P168" s="11"/>
      <c r="Q168" s="11"/>
      <c r="R168" s="11"/>
    </row>
    <row r="169" spans="1:18" x14ac:dyDescent="0.35">
      <c r="A169" s="121">
        <v>37347</v>
      </c>
      <c r="B169" s="190">
        <v>39400</v>
      </c>
      <c r="C169" s="223">
        <v>252000</v>
      </c>
      <c r="D169" s="11">
        <v>396800</v>
      </c>
      <c r="E169" s="1">
        <v>439300.4</v>
      </c>
      <c r="F169" s="11">
        <v>56000</v>
      </c>
      <c r="G169" s="2">
        <v>619100</v>
      </c>
      <c r="H169" s="11">
        <v>1811200</v>
      </c>
      <c r="I169" s="258">
        <v>48900</v>
      </c>
      <c r="J169" s="294">
        <v>91000</v>
      </c>
      <c r="K169" s="331">
        <v>141100</v>
      </c>
      <c r="L169" s="11">
        <v>160500</v>
      </c>
      <c r="M169" s="368">
        <v>355150.4</v>
      </c>
      <c r="N169" s="403"/>
      <c r="O169" s="11"/>
      <c r="P169" s="11"/>
      <c r="Q169" s="11"/>
      <c r="R169" s="11"/>
    </row>
    <row r="170" spans="1:18" x14ac:dyDescent="0.35">
      <c r="A170" s="121">
        <v>37377</v>
      </c>
      <c r="B170" s="190">
        <v>90200</v>
      </c>
      <c r="C170" s="223">
        <v>310700</v>
      </c>
      <c r="D170" s="11">
        <v>734100</v>
      </c>
      <c r="E170" s="1">
        <v>1298378.3999999999</v>
      </c>
      <c r="F170" s="11">
        <v>112000</v>
      </c>
      <c r="G170" s="2">
        <v>1184700</v>
      </c>
      <c r="H170" s="11">
        <v>3338500</v>
      </c>
      <c r="I170" s="258">
        <v>64800</v>
      </c>
      <c r="J170" s="294">
        <v>142100</v>
      </c>
      <c r="K170" s="331">
        <v>146600</v>
      </c>
      <c r="L170" s="11">
        <v>378200</v>
      </c>
      <c r="M170" s="368">
        <v>557933.19999999995</v>
      </c>
      <c r="N170" s="403"/>
      <c r="O170" s="11"/>
      <c r="P170" s="11"/>
      <c r="Q170" s="11"/>
      <c r="R170" s="11"/>
    </row>
    <row r="171" spans="1:18" x14ac:dyDescent="0.35">
      <c r="A171" s="121">
        <v>37408</v>
      </c>
      <c r="B171" s="190">
        <v>71200</v>
      </c>
      <c r="C171" s="223">
        <v>196300</v>
      </c>
      <c r="D171" s="11">
        <v>440400</v>
      </c>
      <c r="E171" s="1">
        <v>266081.59999999998</v>
      </c>
      <c r="F171" s="11">
        <v>100000</v>
      </c>
      <c r="G171" s="2">
        <v>791800</v>
      </c>
      <c r="H171" s="11">
        <v>3183100</v>
      </c>
      <c r="I171" s="258">
        <v>54700</v>
      </c>
      <c r="J171" s="294">
        <v>72100</v>
      </c>
      <c r="K171" s="331">
        <v>105300</v>
      </c>
      <c r="L171" s="11">
        <v>317600</v>
      </c>
      <c r="M171" s="368">
        <v>196793.2</v>
      </c>
      <c r="N171" s="403"/>
      <c r="O171" s="11"/>
      <c r="P171" s="11"/>
      <c r="Q171" s="11"/>
      <c r="R171" s="11"/>
    </row>
    <row r="172" spans="1:18" x14ac:dyDescent="0.35">
      <c r="A172" s="121">
        <v>37438</v>
      </c>
      <c r="B172" s="190">
        <v>70500</v>
      </c>
      <c r="C172" s="223">
        <v>274700</v>
      </c>
      <c r="D172" s="11">
        <v>638300</v>
      </c>
      <c r="E172" s="1">
        <v>690852.8</v>
      </c>
      <c r="F172" s="11">
        <v>133000</v>
      </c>
      <c r="G172" s="2">
        <v>979800</v>
      </c>
      <c r="H172" s="11">
        <v>3078100</v>
      </c>
      <c r="I172" s="258">
        <v>53000</v>
      </c>
      <c r="J172" s="294">
        <v>79100</v>
      </c>
      <c r="K172" s="331">
        <v>106500</v>
      </c>
      <c r="L172" s="11">
        <v>391700</v>
      </c>
      <c r="M172" s="368">
        <v>468622</v>
      </c>
      <c r="N172" s="403"/>
      <c r="O172" s="11"/>
      <c r="P172" s="11"/>
      <c r="Q172" s="11"/>
      <c r="R172" s="11"/>
    </row>
    <row r="173" spans="1:18" x14ac:dyDescent="0.35">
      <c r="A173" s="121">
        <v>37469</v>
      </c>
      <c r="B173" s="190">
        <v>74300</v>
      </c>
      <c r="C173" s="223">
        <v>348300</v>
      </c>
      <c r="D173" s="11">
        <v>796200</v>
      </c>
      <c r="E173" s="1">
        <v>939787.2</v>
      </c>
      <c r="F173" s="11">
        <v>142000</v>
      </c>
      <c r="G173" s="2">
        <v>386800</v>
      </c>
      <c r="H173" s="11">
        <v>3363600</v>
      </c>
      <c r="I173" s="258">
        <v>61400</v>
      </c>
      <c r="J173" s="294">
        <v>117300</v>
      </c>
      <c r="K173" s="331">
        <v>173900</v>
      </c>
      <c r="L173" s="11">
        <v>523300</v>
      </c>
      <c r="M173" s="368">
        <v>509836.79999999999</v>
      </c>
      <c r="N173" s="403"/>
      <c r="O173" s="11"/>
      <c r="P173" s="11"/>
      <c r="Q173" s="11"/>
      <c r="R173" s="11"/>
    </row>
    <row r="174" spans="1:18" x14ac:dyDescent="0.35">
      <c r="A174" s="121">
        <v>37500</v>
      </c>
      <c r="B174" s="190">
        <v>70200</v>
      </c>
      <c r="C174" s="223">
        <v>349000</v>
      </c>
      <c r="D174" s="11">
        <v>647600</v>
      </c>
      <c r="E174" s="1">
        <v>662802.80000000005</v>
      </c>
      <c r="F174" s="11">
        <v>121000</v>
      </c>
      <c r="G174" s="2">
        <v>12200</v>
      </c>
      <c r="H174" s="11">
        <v>3106300</v>
      </c>
      <c r="I174" s="258">
        <v>51200</v>
      </c>
      <c r="J174" s="294">
        <v>62800</v>
      </c>
      <c r="K174" s="331">
        <v>175100</v>
      </c>
      <c r="L174" s="11">
        <v>454400</v>
      </c>
      <c r="M174" s="368">
        <v>325604.40000000002</v>
      </c>
      <c r="N174" s="403"/>
      <c r="O174" s="11"/>
      <c r="P174" s="11"/>
      <c r="Q174" s="11"/>
      <c r="R174" s="11"/>
    </row>
    <row r="175" spans="1:18" x14ac:dyDescent="0.35">
      <c r="A175" s="121">
        <v>37530</v>
      </c>
      <c r="B175" s="198">
        <v>44000</v>
      </c>
      <c r="C175" s="231">
        <v>425100</v>
      </c>
      <c r="D175" s="12">
        <v>803200</v>
      </c>
      <c r="E175" s="1">
        <v>881218.8</v>
      </c>
      <c r="F175" s="12">
        <v>191000</v>
      </c>
      <c r="G175" s="2">
        <v>11600</v>
      </c>
      <c r="H175" s="2">
        <v>2461300</v>
      </c>
      <c r="I175" s="259">
        <v>67000</v>
      </c>
      <c r="J175" s="295">
        <v>75200</v>
      </c>
      <c r="K175" s="332">
        <v>85600</v>
      </c>
      <c r="L175" s="13">
        <v>448400</v>
      </c>
      <c r="M175" s="377">
        <v>472212.4</v>
      </c>
      <c r="N175" s="412"/>
      <c r="O175" s="13"/>
      <c r="P175" s="13"/>
      <c r="Q175" s="13"/>
      <c r="R175" s="13"/>
    </row>
    <row r="176" spans="1:18" x14ac:dyDescent="0.35">
      <c r="A176" s="121">
        <v>37561</v>
      </c>
      <c r="B176" s="184">
        <v>19300</v>
      </c>
      <c r="C176" s="217">
        <v>179600</v>
      </c>
      <c r="D176" s="11">
        <v>322600</v>
      </c>
      <c r="E176" s="1">
        <v>596380.4</v>
      </c>
      <c r="F176" s="11">
        <v>115000</v>
      </c>
      <c r="G176" s="2">
        <v>4700</v>
      </c>
      <c r="H176" s="14">
        <v>1254700</v>
      </c>
      <c r="I176" s="253">
        <v>53500</v>
      </c>
      <c r="J176" s="289">
        <v>34800</v>
      </c>
      <c r="K176" s="327">
        <v>42600</v>
      </c>
      <c r="L176" s="15">
        <v>121000</v>
      </c>
      <c r="M176" s="369">
        <v>329643.59999999998</v>
      </c>
      <c r="N176" s="404"/>
      <c r="O176" s="15"/>
      <c r="P176" s="15"/>
      <c r="Q176" s="15"/>
      <c r="R176" s="15"/>
    </row>
    <row r="177" spans="1:18" x14ac:dyDescent="0.35">
      <c r="A177" s="121">
        <v>37591</v>
      </c>
      <c r="B177" s="184">
        <v>24700</v>
      </c>
      <c r="C177" s="217">
        <v>198400</v>
      </c>
      <c r="D177" s="11">
        <v>253000</v>
      </c>
      <c r="E177" s="1">
        <v>330017.59999999998</v>
      </c>
      <c r="F177" s="11">
        <v>84000</v>
      </c>
      <c r="G177" s="2">
        <v>4100</v>
      </c>
      <c r="H177" s="14">
        <v>747400</v>
      </c>
      <c r="I177" s="253">
        <v>35900</v>
      </c>
      <c r="J177" s="289">
        <v>20600</v>
      </c>
      <c r="K177" s="327">
        <v>33400</v>
      </c>
      <c r="L177" s="14">
        <v>162300</v>
      </c>
      <c r="M177" s="369">
        <v>190889.60000000001</v>
      </c>
      <c r="N177" s="404"/>
      <c r="O177" s="15"/>
      <c r="P177" s="15"/>
      <c r="Q177" s="15"/>
      <c r="R177" s="15"/>
    </row>
    <row r="178" spans="1:18" x14ac:dyDescent="0.35">
      <c r="A178" s="121">
        <v>37622</v>
      </c>
      <c r="B178" s="190">
        <v>70300</v>
      </c>
      <c r="C178" s="223">
        <v>325200</v>
      </c>
      <c r="D178" s="11">
        <v>467000</v>
      </c>
      <c r="E178" s="1">
        <v>764605.6</v>
      </c>
      <c r="F178" s="11">
        <v>207000</v>
      </c>
      <c r="G178" s="2">
        <v>8300</v>
      </c>
      <c r="H178" s="14">
        <v>2037400</v>
      </c>
      <c r="I178" s="253">
        <v>38200</v>
      </c>
      <c r="J178" s="289">
        <v>68700</v>
      </c>
      <c r="K178" s="327">
        <v>92900</v>
      </c>
      <c r="L178" s="14">
        <v>264700</v>
      </c>
      <c r="M178" s="369">
        <v>492408.4</v>
      </c>
      <c r="N178" s="404"/>
      <c r="O178" s="15"/>
      <c r="P178" s="15"/>
      <c r="Q178" s="15"/>
      <c r="R178" s="15"/>
    </row>
    <row r="179" spans="1:18" x14ac:dyDescent="0.35">
      <c r="A179" s="121">
        <v>37653</v>
      </c>
      <c r="B179" s="190">
        <v>22800</v>
      </c>
      <c r="C179" s="223">
        <v>97800</v>
      </c>
      <c r="D179" s="11">
        <v>325100</v>
      </c>
      <c r="E179" s="1">
        <v>348119.2</v>
      </c>
      <c r="F179" s="11">
        <v>95000</v>
      </c>
      <c r="G179" s="2">
        <v>3800</v>
      </c>
      <c r="H179" s="14">
        <v>1032300</v>
      </c>
      <c r="I179" s="253">
        <v>26500</v>
      </c>
      <c r="J179" s="289">
        <v>33600</v>
      </c>
      <c r="K179" s="327">
        <v>65300</v>
      </c>
      <c r="L179" s="14">
        <v>166000</v>
      </c>
      <c r="M179" s="362">
        <v>322163.59999999998</v>
      </c>
      <c r="N179" s="394"/>
      <c r="O179" s="3"/>
      <c r="P179" s="3"/>
      <c r="Q179" s="3"/>
      <c r="R179" s="3"/>
    </row>
    <row r="180" spans="1:18" x14ac:dyDescent="0.35">
      <c r="A180" s="121">
        <v>37681</v>
      </c>
      <c r="B180" s="190">
        <v>25200</v>
      </c>
      <c r="C180" s="223">
        <v>209800</v>
      </c>
      <c r="D180" s="11">
        <v>231700</v>
      </c>
      <c r="E180" s="1">
        <v>344229.6</v>
      </c>
      <c r="F180" s="11">
        <v>96000</v>
      </c>
      <c r="G180" s="2">
        <v>6600</v>
      </c>
      <c r="H180" s="14">
        <v>1159700</v>
      </c>
      <c r="I180" s="253">
        <v>32500</v>
      </c>
      <c r="J180" s="289">
        <v>29000</v>
      </c>
      <c r="K180" s="327">
        <v>1500</v>
      </c>
      <c r="L180" s="14">
        <v>137700</v>
      </c>
      <c r="M180" s="362">
        <v>223801.60000000001</v>
      </c>
      <c r="N180" s="394"/>
      <c r="O180" s="3"/>
      <c r="P180" s="3"/>
      <c r="Q180" s="3"/>
      <c r="R180" s="3"/>
    </row>
    <row r="181" spans="1:18" x14ac:dyDescent="0.35">
      <c r="A181" s="121">
        <v>37712</v>
      </c>
      <c r="B181" s="184">
        <v>20000</v>
      </c>
      <c r="C181" s="217">
        <v>196100</v>
      </c>
      <c r="D181" s="11">
        <v>356400</v>
      </c>
      <c r="E181" s="1">
        <v>469893.6</v>
      </c>
      <c r="F181" s="11">
        <v>80000</v>
      </c>
      <c r="G181" s="2">
        <v>141500</v>
      </c>
      <c r="H181" s="14">
        <v>1539800</v>
      </c>
      <c r="I181" s="253">
        <v>44700</v>
      </c>
      <c r="J181" s="289">
        <v>40300</v>
      </c>
      <c r="K181" s="327">
        <v>18600</v>
      </c>
      <c r="L181" s="14">
        <v>182300</v>
      </c>
      <c r="M181" s="362">
        <v>300471.59999999998</v>
      </c>
      <c r="N181" s="394"/>
      <c r="O181" s="3"/>
      <c r="P181" s="3"/>
      <c r="Q181" s="3"/>
      <c r="R181" s="3"/>
    </row>
    <row r="182" spans="1:18" x14ac:dyDescent="0.35">
      <c r="A182" s="121">
        <v>37742</v>
      </c>
      <c r="B182" s="190">
        <v>65400</v>
      </c>
      <c r="C182" s="223">
        <v>315200</v>
      </c>
      <c r="D182" s="11">
        <v>406200</v>
      </c>
      <c r="E182" s="1">
        <v>703419.2</v>
      </c>
      <c r="F182" s="11">
        <v>82000</v>
      </c>
      <c r="G182" s="2">
        <v>762000</v>
      </c>
      <c r="H182" s="14">
        <v>2668000</v>
      </c>
      <c r="I182" s="253">
        <v>66800</v>
      </c>
      <c r="J182" s="289">
        <v>52000</v>
      </c>
      <c r="K182" s="327">
        <v>155200</v>
      </c>
      <c r="L182" s="14">
        <v>175500</v>
      </c>
      <c r="M182" s="362">
        <v>433989.6</v>
      </c>
      <c r="N182" s="394"/>
      <c r="O182" s="3"/>
      <c r="P182" s="3"/>
      <c r="Q182" s="3"/>
      <c r="R182" s="3"/>
    </row>
    <row r="183" spans="1:18" x14ac:dyDescent="0.35">
      <c r="A183" s="121">
        <v>37773</v>
      </c>
      <c r="B183" s="190">
        <v>71900</v>
      </c>
      <c r="C183" s="223">
        <v>178600</v>
      </c>
      <c r="D183" s="11">
        <v>455300</v>
      </c>
      <c r="E183" s="1">
        <v>545217.19999999995</v>
      </c>
      <c r="F183" s="11">
        <v>107000</v>
      </c>
      <c r="G183" s="2">
        <v>759000</v>
      </c>
      <c r="H183" s="14">
        <v>1953200</v>
      </c>
      <c r="I183" s="253">
        <v>43300</v>
      </c>
      <c r="J183" s="289">
        <v>36300</v>
      </c>
      <c r="K183" s="327">
        <v>86700</v>
      </c>
      <c r="L183" s="14">
        <v>253400</v>
      </c>
      <c r="M183" s="362">
        <v>472062.8</v>
      </c>
      <c r="N183" s="394"/>
      <c r="O183" s="3"/>
      <c r="P183" s="3"/>
      <c r="Q183" s="3"/>
      <c r="R183" s="3"/>
    </row>
    <row r="184" spans="1:18" x14ac:dyDescent="0.35">
      <c r="A184" s="121">
        <v>37803</v>
      </c>
      <c r="B184" s="190">
        <v>127100</v>
      </c>
      <c r="C184" s="223">
        <v>432300</v>
      </c>
      <c r="D184" s="11">
        <v>780100</v>
      </c>
      <c r="E184" s="1">
        <v>812103.6</v>
      </c>
      <c r="F184" s="11">
        <v>139000</v>
      </c>
      <c r="G184" s="2">
        <v>908200</v>
      </c>
      <c r="H184" s="14">
        <v>3705100</v>
      </c>
      <c r="I184" s="253">
        <v>40700</v>
      </c>
      <c r="J184" s="289">
        <v>68200</v>
      </c>
      <c r="K184" s="327">
        <v>143900</v>
      </c>
      <c r="L184" s="14">
        <v>556300</v>
      </c>
      <c r="M184" s="362">
        <v>599746.4</v>
      </c>
      <c r="N184" s="394"/>
      <c r="O184" s="3"/>
      <c r="P184" s="3"/>
      <c r="Q184" s="3"/>
      <c r="R184" s="3"/>
    </row>
    <row r="185" spans="1:18" x14ac:dyDescent="0.35">
      <c r="A185" s="121">
        <v>37834</v>
      </c>
      <c r="B185" s="190">
        <v>132000</v>
      </c>
      <c r="C185" s="223">
        <v>352700</v>
      </c>
      <c r="D185" s="11">
        <v>848300</v>
      </c>
      <c r="E185" s="1">
        <v>1191638.8</v>
      </c>
      <c r="F185" s="11">
        <v>186000</v>
      </c>
      <c r="G185" s="2">
        <v>1245300</v>
      </c>
      <c r="H185" s="14">
        <v>3586800</v>
      </c>
      <c r="I185" s="253">
        <v>53500</v>
      </c>
      <c r="J185" s="289">
        <v>69800</v>
      </c>
      <c r="K185" s="327">
        <v>146100</v>
      </c>
      <c r="L185" s="14">
        <v>451000</v>
      </c>
      <c r="M185" s="362">
        <v>753011.6</v>
      </c>
      <c r="N185" s="394"/>
      <c r="O185" s="3"/>
      <c r="P185" s="3"/>
      <c r="Q185" s="3"/>
      <c r="R185" s="3"/>
    </row>
    <row r="186" spans="1:18" x14ac:dyDescent="0.35">
      <c r="A186" s="121">
        <v>37865</v>
      </c>
      <c r="B186" s="190">
        <v>147700</v>
      </c>
      <c r="C186" s="223">
        <v>251000</v>
      </c>
      <c r="D186" s="11">
        <v>818100</v>
      </c>
      <c r="E186" s="1">
        <v>651208.80000000005</v>
      </c>
      <c r="F186" s="11">
        <v>172000</v>
      </c>
      <c r="G186" s="2">
        <v>985400</v>
      </c>
      <c r="H186" s="14">
        <v>3303900</v>
      </c>
      <c r="I186" s="253">
        <v>40100</v>
      </c>
      <c r="J186" s="289">
        <v>74000</v>
      </c>
      <c r="K186" s="327">
        <v>103700</v>
      </c>
      <c r="L186" s="1">
        <v>451100</v>
      </c>
      <c r="M186" s="362">
        <v>585908.4</v>
      </c>
      <c r="N186" s="394"/>
      <c r="O186" s="3"/>
      <c r="P186" s="3"/>
      <c r="Q186" s="3"/>
      <c r="R186" s="3"/>
    </row>
    <row r="187" spans="1:18" x14ac:dyDescent="0.35">
      <c r="A187" s="121">
        <v>37895</v>
      </c>
      <c r="B187" s="190">
        <v>106900</v>
      </c>
      <c r="C187" s="223">
        <v>502700</v>
      </c>
      <c r="D187" s="11">
        <v>526800</v>
      </c>
      <c r="E187" s="1">
        <v>1062683.6000000001</v>
      </c>
      <c r="F187" s="11">
        <v>238000</v>
      </c>
      <c r="G187" s="2">
        <v>824600</v>
      </c>
      <c r="H187" s="14">
        <v>2826700</v>
      </c>
      <c r="I187" s="253">
        <v>66600</v>
      </c>
      <c r="J187" s="289">
        <v>29100</v>
      </c>
      <c r="K187" s="327">
        <v>69200</v>
      </c>
      <c r="L187" s="1">
        <v>354900</v>
      </c>
      <c r="M187" s="362">
        <v>638343.19999999995</v>
      </c>
      <c r="N187" s="395">
        <v>0</v>
      </c>
      <c r="O187" s="3">
        <v>0</v>
      </c>
      <c r="P187" s="3">
        <v>0</v>
      </c>
      <c r="Q187" s="3">
        <v>0</v>
      </c>
      <c r="R187" s="3">
        <v>0</v>
      </c>
    </row>
    <row r="188" spans="1:18" x14ac:dyDescent="0.35">
      <c r="A188" s="121">
        <v>37926</v>
      </c>
      <c r="B188" s="184">
        <v>56300</v>
      </c>
      <c r="C188" s="217">
        <v>230000</v>
      </c>
      <c r="D188" s="14">
        <v>364000</v>
      </c>
      <c r="E188" s="1">
        <v>346847.6</v>
      </c>
      <c r="F188" s="14">
        <v>76000</v>
      </c>
      <c r="G188" s="2">
        <v>458100</v>
      </c>
      <c r="H188" s="14">
        <v>1323100</v>
      </c>
      <c r="I188" s="251">
        <v>88500</v>
      </c>
      <c r="J188" s="287">
        <v>81000</v>
      </c>
      <c r="K188" s="325">
        <v>93000</v>
      </c>
      <c r="L188" s="14">
        <v>159700</v>
      </c>
      <c r="M188" s="362">
        <v>325604.40000000002</v>
      </c>
      <c r="N188" s="397">
        <v>35300</v>
      </c>
      <c r="O188" s="14">
        <v>69700</v>
      </c>
      <c r="P188" s="14">
        <v>200</v>
      </c>
      <c r="Q188" s="14">
        <v>241900</v>
      </c>
      <c r="R188" s="14">
        <v>47500</v>
      </c>
    </row>
    <row r="189" spans="1:18" x14ac:dyDescent="0.35">
      <c r="A189" s="121">
        <v>37956</v>
      </c>
      <c r="B189" s="184">
        <v>50800</v>
      </c>
      <c r="C189" s="217">
        <v>271300</v>
      </c>
      <c r="D189" s="14">
        <v>293700</v>
      </c>
      <c r="E189" s="1">
        <v>401302</v>
      </c>
      <c r="F189" s="14">
        <v>95000</v>
      </c>
      <c r="G189" s="2">
        <v>566300</v>
      </c>
      <c r="H189" s="3">
        <v>1082600</v>
      </c>
      <c r="I189" s="251">
        <v>39500</v>
      </c>
      <c r="J189" s="287">
        <v>42700</v>
      </c>
      <c r="K189" s="325">
        <v>11900</v>
      </c>
      <c r="L189" s="3">
        <v>215600</v>
      </c>
      <c r="M189" s="362">
        <v>198369.6</v>
      </c>
      <c r="N189" s="397">
        <v>17200</v>
      </c>
      <c r="O189" s="14">
        <v>33200</v>
      </c>
      <c r="P189" s="14">
        <v>0</v>
      </c>
      <c r="Q189" s="14">
        <v>37000</v>
      </c>
      <c r="R189" s="14">
        <v>4000</v>
      </c>
    </row>
    <row r="190" spans="1:18" x14ac:dyDescent="0.35">
      <c r="A190" s="121">
        <v>37987</v>
      </c>
      <c r="B190" s="184">
        <v>58500</v>
      </c>
      <c r="C190" s="217">
        <v>631200</v>
      </c>
      <c r="D190" s="14">
        <v>349300</v>
      </c>
      <c r="E190" s="1">
        <v>571846</v>
      </c>
      <c r="F190" s="14">
        <v>55000</v>
      </c>
      <c r="G190" s="2">
        <v>377400</v>
      </c>
      <c r="H190" s="3">
        <v>2376800</v>
      </c>
      <c r="I190" s="251">
        <v>76100</v>
      </c>
      <c r="J190" s="287">
        <v>81500</v>
      </c>
      <c r="K190" s="325">
        <v>108000</v>
      </c>
      <c r="L190" s="3">
        <v>385500</v>
      </c>
      <c r="M190" s="362">
        <v>257617.2</v>
      </c>
      <c r="N190" s="397">
        <v>83400</v>
      </c>
      <c r="O190" s="14">
        <v>50700</v>
      </c>
      <c r="P190" s="14">
        <v>18600</v>
      </c>
      <c r="Q190" s="14">
        <v>435900</v>
      </c>
      <c r="R190" s="14">
        <v>107700</v>
      </c>
    </row>
    <row r="191" spans="1:18" x14ac:dyDescent="0.35">
      <c r="A191" s="121">
        <v>38018</v>
      </c>
      <c r="B191" s="184">
        <v>34400</v>
      </c>
      <c r="C191" s="217">
        <v>273800</v>
      </c>
      <c r="D191" s="14">
        <v>249400</v>
      </c>
      <c r="E191" s="1">
        <v>264866.8</v>
      </c>
      <c r="F191" s="14">
        <v>70000</v>
      </c>
      <c r="G191" s="2">
        <v>301900</v>
      </c>
      <c r="H191" s="3">
        <v>889300</v>
      </c>
      <c r="I191" s="251">
        <v>45800</v>
      </c>
      <c r="J191" s="287">
        <v>35100</v>
      </c>
      <c r="K191" s="325">
        <v>45200</v>
      </c>
      <c r="L191" s="14">
        <v>103700</v>
      </c>
      <c r="M191" s="362">
        <v>182212.8</v>
      </c>
      <c r="N191" s="397">
        <v>0</v>
      </c>
      <c r="O191" s="14">
        <v>107700</v>
      </c>
      <c r="P191" s="14">
        <v>19100</v>
      </c>
      <c r="Q191" s="14">
        <v>327400</v>
      </c>
      <c r="R191" s="14">
        <v>77400</v>
      </c>
    </row>
    <row r="192" spans="1:18" x14ac:dyDescent="0.35">
      <c r="A192" s="121">
        <v>38047</v>
      </c>
      <c r="B192" s="184">
        <v>41400</v>
      </c>
      <c r="C192" s="217">
        <v>407000</v>
      </c>
      <c r="D192" s="14">
        <v>330900</v>
      </c>
      <c r="E192" s="1">
        <v>393747.20000000001</v>
      </c>
      <c r="F192" s="14">
        <v>38000</v>
      </c>
      <c r="G192" s="2">
        <v>399600</v>
      </c>
      <c r="H192" s="3">
        <v>1317600</v>
      </c>
      <c r="I192" s="251">
        <v>51700</v>
      </c>
      <c r="J192" s="287">
        <v>38200</v>
      </c>
      <c r="K192" s="325">
        <v>65100</v>
      </c>
      <c r="L192" s="14">
        <v>167100</v>
      </c>
      <c r="M192" s="362">
        <v>180492.4</v>
      </c>
      <c r="N192" s="397">
        <v>50500</v>
      </c>
      <c r="O192" s="14">
        <v>98900</v>
      </c>
      <c r="P192" s="14">
        <v>8600</v>
      </c>
      <c r="Q192" s="14">
        <v>182900</v>
      </c>
      <c r="R192" s="14">
        <v>57000</v>
      </c>
    </row>
    <row r="193" spans="1:18" x14ac:dyDescent="0.35">
      <c r="A193" s="121">
        <v>38078</v>
      </c>
      <c r="B193" s="184">
        <v>104800</v>
      </c>
      <c r="C193" s="217">
        <v>425700</v>
      </c>
      <c r="D193" s="14">
        <v>732000</v>
      </c>
      <c r="E193" s="1">
        <v>887277.6</v>
      </c>
      <c r="F193" s="14">
        <v>183000</v>
      </c>
      <c r="G193" s="2">
        <v>1020700</v>
      </c>
      <c r="H193" s="14">
        <v>3049600</v>
      </c>
      <c r="I193" s="251">
        <v>127100</v>
      </c>
      <c r="J193" s="287">
        <v>92300</v>
      </c>
      <c r="K193" s="325">
        <v>157600</v>
      </c>
      <c r="L193" s="14">
        <v>213200</v>
      </c>
      <c r="M193" s="362">
        <v>436607.6</v>
      </c>
      <c r="N193" s="397">
        <v>68900</v>
      </c>
      <c r="O193" s="14">
        <v>202300</v>
      </c>
      <c r="P193" s="14">
        <v>41400</v>
      </c>
      <c r="Q193" s="14">
        <v>427800</v>
      </c>
      <c r="R193" s="14">
        <v>112700</v>
      </c>
    </row>
    <row r="194" spans="1:18" x14ac:dyDescent="0.35">
      <c r="A194" s="121">
        <v>38108</v>
      </c>
      <c r="B194" s="184">
        <v>166200</v>
      </c>
      <c r="C194" s="217">
        <v>300600</v>
      </c>
      <c r="D194" s="14">
        <v>603600</v>
      </c>
      <c r="E194" s="1">
        <v>845614</v>
      </c>
      <c r="F194" s="14">
        <v>244000</v>
      </c>
      <c r="G194" s="2">
        <v>1316400</v>
      </c>
      <c r="H194" s="14">
        <v>3723900</v>
      </c>
      <c r="I194" s="251">
        <v>101900</v>
      </c>
      <c r="J194" s="287">
        <v>84700</v>
      </c>
      <c r="K194" s="325">
        <v>122600</v>
      </c>
      <c r="L194" s="14">
        <v>276500</v>
      </c>
      <c r="M194" s="362">
        <v>287755.59999999998</v>
      </c>
      <c r="N194" s="397">
        <v>67800</v>
      </c>
      <c r="O194" s="14">
        <v>226100</v>
      </c>
      <c r="P194" s="14">
        <v>78700</v>
      </c>
      <c r="Q194" s="14">
        <v>454500</v>
      </c>
      <c r="R194" s="14">
        <v>222500</v>
      </c>
    </row>
    <row r="195" spans="1:18" x14ac:dyDescent="0.35">
      <c r="A195" s="121">
        <v>38139</v>
      </c>
      <c r="B195" s="184">
        <v>192600</v>
      </c>
      <c r="C195" s="217">
        <v>467300</v>
      </c>
      <c r="D195" s="14">
        <v>793900</v>
      </c>
      <c r="E195" s="1">
        <v>921236.8</v>
      </c>
      <c r="F195" s="14">
        <v>345000</v>
      </c>
      <c r="G195" s="2">
        <v>1125500</v>
      </c>
      <c r="H195" s="14">
        <v>3714000</v>
      </c>
      <c r="I195" s="251">
        <v>111100</v>
      </c>
      <c r="J195" s="287">
        <v>90600</v>
      </c>
      <c r="K195" s="325">
        <v>153200</v>
      </c>
      <c r="L195" s="14">
        <v>474100</v>
      </c>
      <c r="M195" s="362">
        <v>595108.80000000005</v>
      </c>
      <c r="N195" s="397">
        <v>106500</v>
      </c>
      <c r="O195" s="14">
        <v>171200</v>
      </c>
      <c r="P195" s="14">
        <v>59000</v>
      </c>
      <c r="Q195" s="14">
        <v>517200</v>
      </c>
      <c r="R195" s="14">
        <v>239200</v>
      </c>
    </row>
    <row r="196" spans="1:18" x14ac:dyDescent="0.35">
      <c r="A196" s="121">
        <v>38169</v>
      </c>
      <c r="B196" s="184">
        <v>161400</v>
      </c>
      <c r="C196" s="217">
        <v>494700</v>
      </c>
      <c r="D196" s="14">
        <v>678600</v>
      </c>
      <c r="E196" s="1">
        <v>820107.2</v>
      </c>
      <c r="F196" s="14">
        <v>250000</v>
      </c>
      <c r="G196" s="2">
        <v>1012700</v>
      </c>
      <c r="H196" s="14">
        <v>3213200</v>
      </c>
      <c r="I196" s="251">
        <v>93600</v>
      </c>
      <c r="J196" s="287">
        <v>49700</v>
      </c>
      <c r="K196" s="325">
        <v>135400</v>
      </c>
      <c r="L196" s="14">
        <v>381600</v>
      </c>
      <c r="M196" s="362">
        <v>532202</v>
      </c>
      <c r="N196" s="397">
        <v>96600</v>
      </c>
      <c r="O196" s="14">
        <v>148100</v>
      </c>
      <c r="P196" s="14">
        <v>37700</v>
      </c>
      <c r="Q196" s="14">
        <v>386600</v>
      </c>
      <c r="R196" s="14">
        <v>177400</v>
      </c>
    </row>
    <row r="197" spans="1:18" x14ac:dyDescent="0.35">
      <c r="A197" s="121">
        <v>38200</v>
      </c>
      <c r="B197" s="184">
        <v>168700</v>
      </c>
      <c r="C197" s="217">
        <v>224200</v>
      </c>
      <c r="D197" s="14">
        <v>648800</v>
      </c>
      <c r="E197" s="1">
        <v>954822</v>
      </c>
      <c r="F197" s="14">
        <v>341000</v>
      </c>
      <c r="G197" s="2">
        <v>763800</v>
      </c>
      <c r="H197" s="14">
        <v>3302000</v>
      </c>
      <c r="I197" s="251">
        <v>99500</v>
      </c>
      <c r="J197" s="287">
        <v>70200</v>
      </c>
      <c r="K197" s="325">
        <v>128500</v>
      </c>
      <c r="L197" s="14">
        <v>345600</v>
      </c>
      <c r="M197" s="362">
        <v>492109.2</v>
      </c>
      <c r="N197" s="397">
        <v>77500</v>
      </c>
      <c r="O197" s="14">
        <v>180800</v>
      </c>
      <c r="P197" s="14">
        <v>85800</v>
      </c>
      <c r="Q197" s="14">
        <v>466100</v>
      </c>
      <c r="R197" s="14">
        <v>283200</v>
      </c>
    </row>
    <row r="198" spans="1:18" x14ac:dyDescent="0.35">
      <c r="A198" s="121">
        <v>38231</v>
      </c>
      <c r="B198" s="184">
        <v>135900</v>
      </c>
      <c r="C198" s="217">
        <v>298700</v>
      </c>
      <c r="D198" s="14">
        <v>966100</v>
      </c>
      <c r="E198" s="1">
        <v>1028051.2</v>
      </c>
      <c r="F198" s="14">
        <v>450000</v>
      </c>
      <c r="G198" s="2">
        <v>1108000</v>
      </c>
      <c r="H198" s="14">
        <v>3902000</v>
      </c>
      <c r="I198" s="251">
        <v>116200</v>
      </c>
      <c r="J198" s="287">
        <v>74000</v>
      </c>
      <c r="K198" s="325">
        <v>172400</v>
      </c>
      <c r="L198" s="14">
        <v>455400</v>
      </c>
      <c r="M198" s="362">
        <v>583215.6</v>
      </c>
      <c r="N198" s="397">
        <v>105500</v>
      </c>
      <c r="O198" s="14">
        <v>260200</v>
      </c>
      <c r="P198" s="14">
        <v>86600</v>
      </c>
      <c r="Q198" s="14">
        <v>622400</v>
      </c>
      <c r="R198" s="14">
        <v>277000</v>
      </c>
    </row>
    <row r="199" spans="1:18" x14ac:dyDescent="0.35">
      <c r="A199" s="121">
        <v>38261</v>
      </c>
      <c r="B199" s="184">
        <v>43100</v>
      </c>
      <c r="C199" s="217">
        <v>143000</v>
      </c>
      <c r="D199" s="14">
        <v>292400</v>
      </c>
      <c r="E199" s="1">
        <v>442666.4</v>
      </c>
      <c r="F199" s="14">
        <v>198000</v>
      </c>
      <c r="G199" s="2">
        <v>454900</v>
      </c>
      <c r="H199" s="14">
        <v>1303600</v>
      </c>
      <c r="I199" s="251">
        <v>63400</v>
      </c>
      <c r="J199" s="287">
        <v>42700</v>
      </c>
      <c r="K199" s="325">
        <v>63600</v>
      </c>
      <c r="L199" s="14">
        <v>223300</v>
      </c>
      <c r="M199" s="362">
        <v>256115.20000000001</v>
      </c>
      <c r="N199" s="397">
        <v>46000</v>
      </c>
      <c r="O199" s="14">
        <v>68700</v>
      </c>
      <c r="P199" s="14">
        <v>38800</v>
      </c>
      <c r="Q199" s="14">
        <v>313000</v>
      </c>
      <c r="R199" s="14">
        <v>109200</v>
      </c>
    </row>
    <row r="200" spans="1:18" x14ac:dyDescent="0.35">
      <c r="A200" s="121">
        <v>38292</v>
      </c>
      <c r="B200" s="183">
        <v>71100</v>
      </c>
      <c r="C200" s="216">
        <v>143800</v>
      </c>
      <c r="D200" s="3">
        <v>404400</v>
      </c>
      <c r="E200" s="1">
        <v>438926.4</v>
      </c>
      <c r="F200" s="3">
        <v>215000</v>
      </c>
      <c r="G200" s="2">
        <v>486300</v>
      </c>
      <c r="H200" s="3">
        <v>1691800</v>
      </c>
      <c r="I200" s="249">
        <v>61000</v>
      </c>
      <c r="J200" s="285">
        <v>38500</v>
      </c>
      <c r="K200" s="323">
        <v>55600</v>
      </c>
      <c r="L200" s="3">
        <v>217300</v>
      </c>
      <c r="M200" s="360">
        <v>367716.8</v>
      </c>
      <c r="N200" s="395">
        <v>45000</v>
      </c>
      <c r="O200" s="3">
        <v>149600</v>
      </c>
      <c r="P200" s="3">
        <v>22000</v>
      </c>
      <c r="Q200" s="3">
        <v>362300</v>
      </c>
      <c r="R200" s="3">
        <v>62000</v>
      </c>
    </row>
    <row r="201" spans="1:18" x14ac:dyDescent="0.35">
      <c r="A201" s="121">
        <v>38322</v>
      </c>
      <c r="B201" s="183">
        <v>79100</v>
      </c>
      <c r="C201" s="216">
        <v>59700</v>
      </c>
      <c r="D201" s="3">
        <v>202100</v>
      </c>
      <c r="E201" s="1">
        <v>202794.4</v>
      </c>
      <c r="F201" s="3">
        <v>129000</v>
      </c>
      <c r="G201" s="2">
        <v>298800</v>
      </c>
      <c r="H201" s="3">
        <v>49400</v>
      </c>
      <c r="I201" s="249">
        <v>31900</v>
      </c>
      <c r="J201" s="285">
        <v>15000</v>
      </c>
      <c r="K201" s="323">
        <v>27800</v>
      </c>
      <c r="L201" s="3">
        <v>109500</v>
      </c>
      <c r="M201" s="360">
        <v>89230</v>
      </c>
      <c r="N201" s="395">
        <v>10700</v>
      </c>
      <c r="O201" s="3">
        <v>99000</v>
      </c>
      <c r="P201" s="3">
        <v>13900</v>
      </c>
      <c r="Q201" s="3">
        <v>215700</v>
      </c>
      <c r="R201" s="3">
        <v>52000</v>
      </c>
    </row>
    <row r="202" spans="1:18" x14ac:dyDescent="0.35">
      <c r="A202" s="121">
        <v>38353</v>
      </c>
      <c r="B202" s="183">
        <v>80700</v>
      </c>
      <c r="C202" s="216">
        <v>103700</v>
      </c>
      <c r="D202" s="3">
        <v>35900</v>
      </c>
      <c r="E202" s="1">
        <v>248485.6</v>
      </c>
      <c r="F202" s="3">
        <v>92000</v>
      </c>
      <c r="G202" s="2">
        <v>242500</v>
      </c>
      <c r="H202" s="3">
        <v>804200</v>
      </c>
      <c r="I202" s="249">
        <v>27300</v>
      </c>
      <c r="J202" s="285">
        <v>9800</v>
      </c>
      <c r="K202" s="323">
        <v>22300</v>
      </c>
      <c r="L202" s="3">
        <v>57500</v>
      </c>
      <c r="M202" s="360">
        <v>175780</v>
      </c>
      <c r="N202" s="395">
        <v>10200</v>
      </c>
      <c r="O202" s="3">
        <v>86300</v>
      </c>
      <c r="P202" s="3">
        <v>26500</v>
      </c>
      <c r="Q202" s="3">
        <v>158800</v>
      </c>
      <c r="R202" s="3">
        <v>100600</v>
      </c>
    </row>
    <row r="203" spans="1:18" x14ac:dyDescent="0.35">
      <c r="A203" s="121">
        <v>38384</v>
      </c>
      <c r="B203" s="183">
        <v>45900</v>
      </c>
      <c r="C203" s="216">
        <v>78700</v>
      </c>
      <c r="D203" s="3">
        <v>214300</v>
      </c>
      <c r="E203" s="1">
        <v>255741.2</v>
      </c>
      <c r="F203" s="3">
        <v>117000</v>
      </c>
      <c r="G203" s="2">
        <v>227300</v>
      </c>
      <c r="H203" s="3">
        <v>719300</v>
      </c>
      <c r="I203" s="249">
        <v>25000</v>
      </c>
      <c r="J203" s="285">
        <v>7300</v>
      </c>
      <c r="K203" s="323">
        <v>16400</v>
      </c>
      <c r="L203" s="3">
        <v>55500</v>
      </c>
      <c r="M203" s="360">
        <v>142344.4</v>
      </c>
      <c r="N203" s="395">
        <v>10100</v>
      </c>
      <c r="O203" s="3">
        <v>86000</v>
      </c>
      <c r="P203" s="3">
        <v>28700</v>
      </c>
      <c r="Q203" s="3">
        <v>192300</v>
      </c>
      <c r="R203" s="3">
        <v>115300</v>
      </c>
    </row>
    <row r="204" spans="1:18" x14ac:dyDescent="0.35">
      <c r="A204" s="121">
        <v>38412</v>
      </c>
      <c r="B204" s="183">
        <v>11100</v>
      </c>
      <c r="C204" s="216">
        <v>60300</v>
      </c>
      <c r="D204" s="3">
        <v>0</v>
      </c>
      <c r="E204" s="1">
        <v>193058.8</v>
      </c>
      <c r="F204" s="3">
        <v>45000</v>
      </c>
      <c r="G204" s="2">
        <v>47200</v>
      </c>
      <c r="H204" s="3">
        <v>242700</v>
      </c>
      <c r="I204" s="249">
        <v>22800</v>
      </c>
      <c r="J204" s="285">
        <v>300</v>
      </c>
      <c r="K204" s="323">
        <v>11700</v>
      </c>
      <c r="L204" s="3">
        <v>35200</v>
      </c>
      <c r="M204" s="360">
        <v>191039.2</v>
      </c>
      <c r="N204" s="395">
        <v>2000</v>
      </c>
      <c r="O204" s="3">
        <v>89300</v>
      </c>
      <c r="P204" s="3">
        <v>30300</v>
      </c>
      <c r="Q204" s="3">
        <v>192700</v>
      </c>
      <c r="R204" s="3">
        <v>0</v>
      </c>
    </row>
    <row r="205" spans="1:18" x14ac:dyDescent="0.35">
      <c r="A205" s="121">
        <v>38443</v>
      </c>
      <c r="B205" s="185">
        <v>116700</v>
      </c>
      <c r="C205" s="218">
        <v>241500</v>
      </c>
      <c r="D205" s="6">
        <v>735700</v>
      </c>
      <c r="E205" s="1">
        <v>629217.6</v>
      </c>
      <c r="F205" s="6">
        <v>289000</v>
      </c>
      <c r="G205" s="2">
        <v>655000</v>
      </c>
      <c r="H205" s="6">
        <v>2440100</v>
      </c>
      <c r="I205" s="252">
        <v>80100</v>
      </c>
      <c r="J205" s="288">
        <v>59200</v>
      </c>
      <c r="K205" s="326">
        <v>90000</v>
      </c>
      <c r="L205" s="6">
        <v>222200</v>
      </c>
      <c r="M205" s="363">
        <v>489940</v>
      </c>
      <c r="N205" s="398">
        <v>25300</v>
      </c>
      <c r="O205" s="6">
        <v>213700</v>
      </c>
      <c r="P205" s="6">
        <v>77700</v>
      </c>
      <c r="Q205" s="6">
        <v>523300</v>
      </c>
      <c r="R205" s="6">
        <v>258900</v>
      </c>
    </row>
    <row r="206" spans="1:18" x14ac:dyDescent="0.35">
      <c r="A206" s="121">
        <v>38473</v>
      </c>
      <c r="B206" s="185">
        <v>119400</v>
      </c>
      <c r="C206" s="218">
        <v>197100</v>
      </c>
      <c r="D206" s="6">
        <v>569000</v>
      </c>
      <c r="E206" s="1">
        <v>529434.4</v>
      </c>
      <c r="F206" s="6">
        <v>208000</v>
      </c>
      <c r="G206" s="2">
        <v>642800</v>
      </c>
      <c r="H206" s="6">
        <v>1618000</v>
      </c>
      <c r="I206" s="252">
        <v>49500</v>
      </c>
      <c r="J206" s="288">
        <v>44600</v>
      </c>
      <c r="K206" s="326">
        <v>79600</v>
      </c>
      <c r="L206" s="6">
        <v>213300</v>
      </c>
      <c r="M206" s="363">
        <v>495250.8</v>
      </c>
      <c r="N206" s="398">
        <v>14500</v>
      </c>
      <c r="O206" s="6">
        <v>191200</v>
      </c>
      <c r="P206" s="6">
        <v>68200</v>
      </c>
      <c r="Q206" s="6">
        <v>396100</v>
      </c>
      <c r="R206" s="6">
        <v>286600</v>
      </c>
    </row>
    <row r="207" spans="1:18" x14ac:dyDescent="0.35">
      <c r="A207" s="121">
        <v>38504</v>
      </c>
      <c r="B207" s="185">
        <v>65100</v>
      </c>
      <c r="C207" s="218">
        <v>61600</v>
      </c>
      <c r="D207" s="6">
        <v>144700</v>
      </c>
      <c r="E207" s="1">
        <v>224624.4</v>
      </c>
      <c r="F207" s="6">
        <v>74000</v>
      </c>
      <c r="G207" s="2">
        <v>257600</v>
      </c>
      <c r="H207" s="6">
        <v>589400</v>
      </c>
      <c r="I207" s="252">
        <v>58500</v>
      </c>
      <c r="J207" s="288">
        <v>37200</v>
      </c>
      <c r="K207" s="326">
        <v>142000</v>
      </c>
      <c r="L207" s="6">
        <v>69600</v>
      </c>
      <c r="M207" s="363">
        <v>125290</v>
      </c>
      <c r="N207" s="398">
        <v>2900</v>
      </c>
      <c r="O207" s="6">
        <v>57700</v>
      </c>
      <c r="P207" s="6">
        <v>11200</v>
      </c>
      <c r="Q207" s="6">
        <v>107600</v>
      </c>
      <c r="R207" s="6">
        <v>50000</v>
      </c>
    </row>
    <row r="208" spans="1:18" x14ac:dyDescent="0.35">
      <c r="A208" s="121">
        <v>38534</v>
      </c>
      <c r="B208" s="185">
        <v>157900</v>
      </c>
      <c r="C208" s="218">
        <v>242800</v>
      </c>
      <c r="D208" s="6">
        <v>700500</v>
      </c>
      <c r="E208" s="1">
        <v>667814.40000000002</v>
      </c>
      <c r="F208" s="6">
        <v>216000</v>
      </c>
      <c r="G208" s="2">
        <v>988400</v>
      </c>
      <c r="H208" s="6">
        <v>2692200</v>
      </c>
      <c r="I208" s="252">
        <v>64400</v>
      </c>
      <c r="J208" s="288">
        <v>50300</v>
      </c>
      <c r="K208" s="326">
        <v>91500</v>
      </c>
      <c r="L208" s="6">
        <v>297300</v>
      </c>
      <c r="M208" s="363">
        <v>544095.19999999995</v>
      </c>
      <c r="N208" s="398">
        <v>15000</v>
      </c>
      <c r="O208" s="6">
        <v>270400</v>
      </c>
      <c r="P208" s="6">
        <v>50500</v>
      </c>
      <c r="Q208" s="6">
        <v>494600</v>
      </c>
      <c r="R208" s="6">
        <v>224300</v>
      </c>
    </row>
    <row r="209" spans="1:18" x14ac:dyDescent="0.35">
      <c r="A209" s="121">
        <v>38565</v>
      </c>
      <c r="B209" s="185">
        <v>124900</v>
      </c>
      <c r="C209" s="218">
        <v>241200</v>
      </c>
      <c r="D209" s="6">
        <v>852000</v>
      </c>
      <c r="E209" s="1">
        <v>1014063.6</v>
      </c>
      <c r="F209" s="6">
        <v>234000</v>
      </c>
      <c r="G209" s="2">
        <v>1069000</v>
      </c>
      <c r="H209" s="6">
        <v>3747300</v>
      </c>
      <c r="I209" s="252">
        <v>63900</v>
      </c>
      <c r="J209" s="288">
        <v>58500</v>
      </c>
      <c r="K209" s="326">
        <v>89100</v>
      </c>
      <c r="L209" s="6">
        <v>307000</v>
      </c>
      <c r="M209" s="363">
        <v>529359.6</v>
      </c>
      <c r="N209" s="398">
        <v>18600</v>
      </c>
      <c r="O209" s="6">
        <v>300900</v>
      </c>
      <c r="P209" s="6">
        <v>50100</v>
      </c>
      <c r="Q209" s="6">
        <v>499900</v>
      </c>
      <c r="R209" s="6">
        <v>201900</v>
      </c>
    </row>
    <row r="210" spans="1:18" x14ac:dyDescent="0.35">
      <c r="A210" s="121">
        <v>38596</v>
      </c>
      <c r="B210" s="185">
        <v>95600</v>
      </c>
      <c r="C210" s="218">
        <v>292600</v>
      </c>
      <c r="D210" s="6">
        <v>850100</v>
      </c>
      <c r="E210" s="1">
        <v>1026704.8</v>
      </c>
      <c r="F210" s="6">
        <v>407000</v>
      </c>
      <c r="G210" s="2">
        <v>999500</v>
      </c>
      <c r="H210" s="6">
        <v>3758800</v>
      </c>
      <c r="I210" s="252">
        <v>76700</v>
      </c>
      <c r="J210" s="288">
        <v>84200</v>
      </c>
      <c r="K210" s="326">
        <v>166500</v>
      </c>
      <c r="L210" s="6">
        <v>480100</v>
      </c>
      <c r="M210" s="363">
        <v>566236</v>
      </c>
      <c r="N210" s="398">
        <v>27700</v>
      </c>
      <c r="O210" s="6">
        <v>386600</v>
      </c>
      <c r="P210" s="6">
        <v>60400</v>
      </c>
      <c r="Q210" s="6">
        <v>643700</v>
      </c>
      <c r="R210" s="6">
        <v>261000</v>
      </c>
    </row>
    <row r="211" spans="1:18" x14ac:dyDescent="0.35">
      <c r="A211" s="121">
        <v>38626</v>
      </c>
      <c r="B211" s="191">
        <v>123800</v>
      </c>
      <c r="C211" s="224">
        <v>149500</v>
      </c>
      <c r="D211" s="16">
        <v>532700</v>
      </c>
      <c r="E211" s="1">
        <v>419328.8</v>
      </c>
      <c r="F211" s="16">
        <v>195000</v>
      </c>
      <c r="G211" s="2">
        <v>467400</v>
      </c>
      <c r="H211" s="16">
        <v>1688700</v>
      </c>
      <c r="I211" s="260">
        <v>45000</v>
      </c>
      <c r="J211" s="296">
        <v>48000</v>
      </c>
      <c r="K211" s="333">
        <v>74900</v>
      </c>
      <c r="L211" s="16">
        <v>257700</v>
      </c>
      <c r="M211" s="370">
        <v>274067.20000000001</v>
      </c>
      <c r="N211" s="405">
        <v>14600</v>
      </c>
      <c r="O211" s="16">
        <v>206600</v>
      </c>
      <c r="P211" s="16">
        <v>26000</v>
      </c>
      <c r="Q211" s="16">
        <v>272600</v>
      </c>
      <c r="R211" s="16">
        <v>146600</v>
      </c>
    </row>
    <row r="212" spans="1:18" x14ac:dyDescent="0.35">
      <c r="A212" s="121">
        <v>38657</v>
      </c>
      <c r="B212" s="193">
        <v>64300</v>
      </c>
      <c r="C212" s="226">
        <v>165900</v>
      </c>
      <c r="D212" s="17">
        <v>443400</v>
      </c>
      <c r="E212" s="1">
        <v>521730</v>
      </c>
      <c r="F212" s="17">
        <v>204000</v>
      </c>
      <c r="G212" s="2">
        <v>715900</v>
      </c>
      <c r="H212" s="17">
        <v>1385000</v>
      </c>
      <c r="I212" s="262">
        <v>37000</v>
      </c>
      <c r="J212" s="298">
        <v>31400</v>
      </c>
      <c r="K212" s="335">
        <v>95500</v>
      </c>
      <c r="L212" s="17">
        <v>222300</v>
      </c>
      <c r="M212" s="372">
        <v>254320</v>
      </c>
      <c r="N212" s="407">
        <v>13700</v>
      </c>
      <c r="O212" s="17">
        <v>160100</v>
      </c>
      <c r="P212" s="17">
        <v>28200</v>
      </c>
      <c r="Q212" s="17">
        <v>248700</v>
      </c>
      <c r="R212" s="17">
        <v>124700</v>
      </c>
    </row>
    <row r="213" spans="1:18" x14ac:dyDescent="0.35">
      <c r="A213" s="121">
        <v>38687</v>
      </c>
      <c r="B213" s="194">
        <v>94500</v>
      </c>
      <c r="C213" s="227">
        <v>232600</v>
      </c>
      <c r="D213" s="18">
        <v>772600</v>
      </c>
      <c r="E213" s="1">
        <v>676042.4</v>
      </c>
      <c r="F213" s="18">
        <v>308000</v>
      </c>
      <c r="G213" s="2">
        <v>915400</v>
      </c>
      <c r="H213" s="18">
        <v>1773400</v>
      </c>
      <c r="I213" s="263">
        <v>77800</v>
      </c>
      <c r="J213" s="299">
        <v>56300</v>
      </c>
      <c r="K213" s="336">
        <v>68600</v>
      </c>
      <c r="L213" s="18">
        <v>177500</v>
      </c>
      <c r="M213" s="373">
        <v>368536.4</v>
      </c>
      <c r="N213" s="408">
        <v>26200</v>
      </c>
      <c r="O213" s="18">
        <v>258800</v>
      </c>
      <c r="P213" s="18">
        <v>41000</v>
      </c>
      <c r="Q213" s="18">
        <v>268500</v>
      </c>
      <c r="R213" s="18">
        <v>215500</v>
      </c>
    </row>
    <row r="214" spans="1:18" x14ac:dyDescent="0.35">
      <c r="A214" s="121">
        <v>38718</v>
      </c>
      <c r="B214" s="195">
        <v>35800</v>
      </c>
      <c r="C214" s="228">
        <v>28600</v>
      </c>
      <c r="D214" s="17">
        <v>139800</v>
      </c>
      <c r="E214" s="1">
        <v>436532.8</v>
      </c>
      <c r="F214" s="17">
        <v>220000</v>
      </c>
      <c r="G214" s="2">
        <v>417000</v>
      </c>
      <c r="H214" s="17">
        <v>291900</v>
      </c>
      <c r="I214" s="264">
        <v>11800</v>
      </c>
      <c r="J214" s="300">
        <v>5500</v>
      </c>
      <c r="K214" s="337">
        <v>45600</v>
      </c>
      <c r="L214" s="17">
        <v>3200</v>
      </c>
      <c r="M214" s="374">
        <v>171292</v>
      </c>
      <c r="N214" s="409">
        <v>12800</v>
      </c>
      <c r="O214" s="17">
        <v>56000</v>
      </c>
      <c r="P214" s="17">
        <v>12700</v>
      </c>
      <c r="Q214" s="17">
        <v>400</v>
      </c>
      <c r="R214" s="17">
        <v>58800</v>
      </c>
    </row>
    <row r="215" spans="1:18" x14ac:dyDescent="0.35">
      <c r="A215" s="121">
        <v>38749</v>
      </c>
      <c r="B215" s="194">
        <v>79300</v>
      </c>
      <c r="C215" s="227">
        <v>170900</v>
      </c>
      <c r="D215" s="18">
        <v>514200</v>
      </c>
      <c r="E215" s="1">
        <v>484180.4</v>
      </c>
      <c r="F215" s="18">
        <v>49000</v>
      </c>
      <c r="G215" s="2">
        <v>681400</v>
      </c>
      <c r="H215" s="18">
        <v>1574000</v>
      </c>
      <c r="I215" s="263">
        <v>59200</v>
      </c>
      <c r="J215" s="299">
        <v>42800</v>
      </c>
      <c r="K215" s="336">
        <v>112100</v>
      </c>
      <c r="L215" s="18">
        <v>58500</v>
      </c>
      <c r="M215" s="373">
        <v>428978</v>
      </c>
      <c r="N215" s="408">
        <v>7200</v>
      </c>
      <c r="O215" s="18">
        <v>211100</v>
      </c>
      <c r="P215" s="18">
        <v>27500</v>
      </c>
      <c r="Q215" s="18">
        <v>200</v>
      </c>
      <c r="R215" s="18">
        <v>121800</v>
      </c>
    </row>
    <row r="216" spans="1:18" x14ac:dyDescent="0.35">
      <c r="A216" s="121">
        <v>38777</v>
      </c>
      <c r="B216" s="193">
        <v>48500</v>
      </c>
      <c r="C216" s="226">
        <v>55500</v>
      </c>
      <c r="D216" s="17">
        <v>226700</v>
      </c>
      <c r="E216" s="1">
        <v>437430.4</v>
      </c>
      <c r="F216" s="17">
        <v>0</v>
      </c>
      <c r="G216" s="2">
        <v>1257900</v>
      </c>
      <c r="H216" s="17">
        <v>595200</v>
      </c>
      <c r="I216" s="262">
        <v>21200</v>
      </c>
      <c r="J216" s="298">
        <v>22200</v>
      </c>
      <c r="K216" s="335">
        <v>71200</v>
      </c>
      <c r="L216" s="17">
        <v>73200</v>
      </c>
      <c r="M216" s="372">
        <v>154097.20000000001</v>
      </c>
      <c r="N216" s="407">
        <v>5900</v>
      </c>
      <c r="O216" s="17">
        <v>83200</v>
      </c>
      <c r="P216" s="17">
        <v>5700</v>
      </c>
      <c r="Q216" s="17">
        <v>0</v>
      </c>
      <c r="R216" s="17">
        <v>22000</v>
      </c>
    </row>
    <row r="217" spans="1:18" x14ac:dyDescent="0.35">
      <c r="A217" s="121">
        <v>38808</v>
      </c>
      <c r="B217" s="192">
        <v>44800</v>
      </c>
      <c r="C217" s="225">
        <v>69900</v>
      </c>
      <c r="D217" s="13">
        <v>177700</v>
      </c>
      <c r="E217" s="1">
        <v>220660</v>
      </c>
      <c r="F217" s="13">
        <v>0</v>
      </c>
      <c r="G217" s="2">
        <v>2536100</v>
      </c>
      <c r="H217" s="13">
        <v>599800</v>
      </c>
      <c r="I217" s="261">
        <v>17500</v>
      </c>
      <c r="J217" s="297">
        <v>14700</v>
      </c>
      <c r="K217" s="334">
        <v>24800</v>
      </c>
      <c r="L217" s="13">
        <v>61100</v>
      </c>
      <c r="M217" s="371">
        <v>147879.6</v>
      </c>
      <c r="N217" s="406">
        <v>0</v>
      </c>
      <c r="O217" s="13">
        <v>63800</v>
      </c>
      <c r="P217" s="13">
        <v>2300</v>
      </c>
      <c r="Q217" s="13">
        <v>0</v>
      </c>
      <c r="R217" s="13">
        <v>38000</v>
      </c>
    </row>
    <row r="218" spans="1:18" x14ac:dyDescent="0.35">
      <c r="A218" s="121">
        <v>38838</v>
      </c>
      <c r="B218" s="192">
        <v>70200</v>
      </c>
      <c r="C218" s="225">
        <v>179700</v>
      </c>
      <c r="D218" s="13">
        <v>201500</v>
      </c>
      <c r="E218" s="1">
        <v>512754</v>
      </c>
      <c r="F218" s="13">
        <v>0</v>
      </c>
      <c r="G218" s="2">
        <v>753600</v>
      </c>
      <c r="H218" s="13">
        <v>1430600</v>
      </c>
      <c r="I218" s="261">
        <v>32800</v>
      </c>
      <c r="J218" s="297">
        <v>35800</v>
      </c>
      <c r="K218" s="334">
        <v>62000</v>
      </c>
      <c r="L218" s="13">
        <v>167600</v>
      </c>
      <c r="M218" s="360">
        <v>202334</v>
      </c>
      <c r="N218" s="395">
        <v>10400</v>
      </c>
      <c r="O218" s="3">
        <v>127400</v>
      </c>
      <c r="P218" s="3">
        <v>10800</v>
      </c>
      <c r="Q218" s="3">
        <v>0</v>
      </c>
      <c r="R218" s="3">
        <v>160000</v>
      </c>
    </row>
    <row r="219" spans="1:18" x14ac:dyDescent="0.35">
      <c r="A219" s="121">
        <v>38869</v>
      </c>
      <c r="B219" s="192">
        <v>138900</v>
      </c>
      <c r="C219" s="225">
        <v>266600</v>
      </c>
      <c r="D219" s="13">
        <v>669900</v>
      </c>
      <c r="E219" s="1">
        <v>1001422.4</v>
      </c>
      <c r="F219" s="13">
        <v>0</v>
      </c>
      <c r="G219" s="2">
        <v>1083400</v>
      </c>
      <c r="H219" s="13">
        <v>2138500</v>
      </c>
      <c r="I219" s="261">
        <v>60700</v>
      </c>
      <c r="J219" s="297">
        <v>56900</v>
      </c>
      <c r="K219" s="334">
        <v>0</v>
      </c>
      <c r="L219" s="13">
        <v>253500</v>
      </c>
      <c r="M219" s="371">
        <v>446930</v>
      </c>
      <c r="N219" s="406">
        <v>19700</v>
      </c>
      <c r="O219" s="13">
        <v>252100</v>
      </c>
      <c r="P219" s="13">
        <v>12000</v>
      </c>
      <c r="Q219" s="13">
        <v>300</v>
      </c>
      <c r="R219" s="13">
        <v>167600</v>
      </c>
    </row>
    <row r="220" spans="1:18" x14ac:dyDescent="0.35">
      <c r="A220" s="121">
        <v>38899</v>
      </c>
      <c r="B220" s="192">
        <v>133600</v>
      </c>
      <c r="C220" s="225">
        <v>230100</v>
      </c>
      <c r="D220" s="13">
        <v>883300</v>
      </c>
      <c r="E220" s="1">
        <v>922882.4</v>
      </c>
      <c r="F220" s="13">
        <v>0</v>
      </c>
      <c r="G220" s="2">
        <v>1537300</v>
      </c>
      <c r="H220" s="13">
        <v>3174400</v>
      </c>
      <c r="I220" s="261">
        <v>66500</v>
      </c>
      <c r="J220" s="297">
        <v>60200</v>
      </c>
      <c r="K220" s="334">
        <v>29900</v>
      </c>
      <c r="L220" s="13">
        <v>501200</v>
      </c>
      <c r="M220" s="371">
        <v>634977.19999999995</v>
      </c>
      <c r="N220" s="406">
        <v>22100</v>
      </c>
      <c r="O220" s="13">
        <v>234000</v>
      </c>
      <c r="P220" s="13">
        <v>20200</v>
      </c>
      <c r="Q220" s="13">
        <v>0</v>
      </c>
      <c r="R220" s="13">
        <v>184300</v>
      </c>
    </row>
    <row r="221" spans="1:18" x14ac:dyDescent="0.35">
      <c r="A221" s="121">
        <v>38930</v>
      </c>
      <c r="B221" s="192">
        <v>164600</v>
      </c>
      <c r="C221" s="225">
        <v>275200</v>
      </c>
      <c r="D221" s="13">
        <v>765300</v>
      </c>
      <c r="E221" s="1">
        <v>1271375.6000000001</v>
      </c>
      <c r="F221" s="13">
        <v>0</v>
      </c>
      <c r="G221" s="2">
        <v>1348800</v>
      </c>
      <c r="H221" s="13">
        <v>4785700</v>
      </c>
      <c r="I221" s="261">
        <v>91400</v>
      </c>
      <c r="J221" s="297">
        <v>97000</v>
      </c>
      <c r="K221" s="334">
        <v>109000</v>
      </c>
      <c r="L221" s="13">
        <v>526100</v>
      </c>
      <c r="M221" s="371">
        <v>585235.19999999995</v>
      </c>
      <c r="N221" s="406">
        <v>32800</v>
      </c>
      <c r="O221" s="13">
        <v>340800</v>
      </c>
      <c r="P221" s="13">
        <v>39800</v>
      </c>
      <c r="Q221" s="13">
        <v>0</v>
      </c>
      <c r="R221" s="13">
        <v>275800</v>
      </c>
    </row>
    <row r="222" spans="1:18" x14ac:dyDescent="0.35">
      <c r="A222" s="121">
        <v>38961</v>
      </c>
      <c r="B222" s="192">
        <v>117000</v>
      </c>
      <c r="C222" s="225">
        <v>123100</v>
      </c>
      <c r="D222" s="13">
        <v>828400</v>
      </c>
      <c r="E222" s="1">
        <v>716060.4</v>
      </c>
      <c r="F222" s="13">
        <v>0</v>
      </c>
      <c r="G222" s="2">
        <v>1007500</v>
      </c>
      <c r="H222" s="13">
        <v>3683900</v>
      </c>
      <c r="I222" s="261">
        <v>76300</v>
      </c>
      <c r="J222" s="297">
        <v>77400</v>
      </c>
      <c r="K222" s="334">
        <v>93300</v>
      </c>
      <c r="L222" s="13">
        <v>368500</v>
      </c>
      <c r="M222" s="371">
        <v>473783.2</v>
      </c>
      <c r="N222" s="406">
        <v>24200</v>
      </c>
      <c r="O222" s="13">
        <v>272900</v>
      </c>
      <c r="P222" s="13">
        <v>28200</v>
      </c>
      <c r="Q222" s="13">
        <v>0</v>
      </c>
      <c r="R222" s="13">
        <v>232600</v>
      </c>
    </row>
    <row r="223" spans="1:18" x14ac:dyDescent="0.35">
      <c r="A223" s="121">
        <v>38991</v>
      </c>
      <c r="B223" s="191">
        <v>26300</v>
      </c>
      <c r="C223" s="224">
        <v>222700</v>
      </c>
      <c r="D223" s="16">
        <v>666800</v>
      </c>
      <c r="E223" s="1">
        <v>538335.6</v>
      </c>
      <c r="F223" s="16">
        <v>6000</v>
      </c>
      <c r="G223" s="2">
        <v>869800</v>
      </c>
      <c r="H223" s="16">
        <v>3191600</v>
      </c>
      <c r="I223" s="260">
        <v>56200</v>
      </c>
      <c r="J223" s="296">
        <v>61500</v>
      </c>
      <c r="K223" s="333">
        <v>82500</v>
      </c>
      <c r="L223" s="16">
        <v>177600</v>
      </c>
      <c r="M223" s="370">
        <v>325380</v>
      </c>
      <c r="N223" s="405">
        <v>19600</v>
      </c>
      <c r="O223" s="16">
        <v>229800</v>
      </c>
      <c r="P223" s="16">
        <v>32600</v>
      </c>
      <c r="Q223" s="16">
        <v>0</v>
      </c>
      <c r="R223" s="16">
        <v>198900</v>
      </c>
    </row>
    <row r="224" spans="1:18" x14ac:dyDescent="0.35">
      <c r="A224" s="121">
        <v>39022</v>
      </c>
      <c r="B224" s="193">
        <v>92400</v>
      </c>
      <c r="C224" s="226">
        <v>324000</v>
      </c>
      <c r="D224" s="17">
        <v>758800</v>
      </c>
      <c r="E224" s="1">
        <v>87790</v>
      </c>
      <c r="F224" s="17">
        <v>176000</v>
      </c>
      <c r="G224" s="2">
        <v>1198400</v>
      </c>
      <c r="H224" s="17">
        <v>3141700</v>
      </c>
      <c r="I224" s="262">
        <v>84000</v>
      </c>
      <c r="J224" s="298">
        <v>88400</v>
      </c>
      <c r="K224" s="335">
        <v>150300</v>
      </c>
      <c r="L224" s="17">
        <v>382800</v>
      </c>
      <c r="M224" s="372">
        <v>48150</v>
      </c>
      <c r="N224" s="407">
        <v>26000</v>
      </c>
      <c r="O224" s="17">
        <v>283100</v>
      </c>
      <c r="P224" s="17">
        <v>9800</v>
      </c>
      <c r="Q224" s="17">
        <v>0</v>
      </c>
      <c r="R224" s="17">
        <v>270000</v>
      </c>
    </row>
    <row r="225" spans="1:18" x14ac:dyDescent="0.35">
      <c r="A225" s="121">
        <v>39052</v>
      </c>
      <c r="B225" s="194">
        <v>29500</v>
      </c>
      <c r="C225" s="227">
        <v>117700</v>
      </c>
      <c r="D225" s="18">
        <v>237600</v>
      </c>
      <c r="E225" s="1">
        <v>288518.40000000002</v>
      </c>
      <c r="F225" s="18">
        <v>107000</v>
      </c>
      <c r="G225" s="2">
        <v>538200</v>
      </c>
      <c r="H225" s="18">
        <v>874700</v>
      </c>
      <c r="I225" s="263">
        <v>64800</v>
      </c>
      <c r="J225" s="299">
        <v>49900</v>
      </c>
      <c r="K225" s="336">
        <v>29000</v>
      </c>
      <c r="L225" s="18">
        <v>173300</v>
      </c>
      <c r="M225" s="373">
        <v>102946</v>
      </c>
      <c r="N225" s="408">
        <v>62300</v>
      </c>
      <c r="O225" s="18">
        <v>225800</v>
      </c>
      <c r="P225" s="18">
        <v>12300</v>
      </c>
      <c r="Q225" s="18">
        <v>0</v>
      </c>
      <c r="R225" s="18">
        <v>156200</v>
      </c>
    </row>
    <row r="226" spans="1:18" x14ac:dyDescent="0.35">
      <c r="A226" s="121">
        <v>39083</v>
      </c>
      <c r="B226" s="195">
        <v>105400</v>
      </c>
      <c r="C226" s="228">
        <v>198500</v>
      </c>
      <c r="D226" s="17">
        <v>109800</v>
      </c>
      <c r="E226" s="1">
        <v>194190.8</v>
      </c>
      <c r="F226" s="17">
        <v>182000</v>
      </c>
      <c r="G226" s="2">
        <v>910900</v>
      </c>
      <c r="H226" s="17">
        <v>2096100</v>
      </c>
      <c r="I226" s="263">
        <v>65200</v>
      </c>
      <c r="J226" s="299">
        <v>140700</v>
      </c>
      <c r="K226" s="336">
        <v>124600</v>
      </c>
      <c r="L226" s="17">
        <v>263700</v>
      </c>
      <c r="M226" s="374">
        <v>114388.8</v>
      </c>
      <c r="N226" s="409">
        <v>21300</v>
      </c>
      <c r="O226" s="17">
        <v>251100</v>
      </c>
      <c r="P226" s="17">
        <v>26200</v>
      </c>
      <c r="Q226" s="17">
        <v>103000</v>
      </c>
      <c r="R226" s="17">
        <v>226600</v>
      </c>
    </row>
    <row r="227" spans="1:18" x14ac:dyDescent="0.35">
      <c r="A227" s="121">
        <v>39114</v>
      </c>
      <c r="B227" s="194">
        <v>29200</v>
      </c>
      <c r="C227" s="227">
        <v>141500</v>
      </c>
      <c r="D227" s="18">
        <v>281200</v>
      </c>
      <c r="E227" s="1">
        <v>64048</v>
      </c>
      <c r="F227" s="18">
        <v>85000</v>
      </c>
      <c r="G227" s="2">
        <v>421300</v>
      </c>
      <c r="H227" s="18">
        <v>1440100</v>
      </c>
      <c r="I227" s="263">
        <v>36500</v>
      </c>
      <c r="J227" s="299">
        <v>61800</v>
      </c>
      <c r="K227" s="336">
        <v>27200</v>
      </c>
      <c r="L227" s="18">
        <v>115500</v>
      </c>
      <c r="M227" s="373">
        <v>49920.4</v>
      </c>
      <c r="N227" s="408">
        <v>9500</v>
      </c>
      <c r="O227" s="18">
        <v>118800</v>
      </c>
      <c r="P227" s="18">
        <v>6400</v>
      </c>
      <c r="Q227" s="18">
        <v>134700</v>
      </c>
      <c r="R227" s="18">
        <v>79800</v>
      </c>
    </row>
    <row r="228" spans="1:18" x14ac:dyDescent="0.35">
      <c r="A228" s="121">
        <v>39142</v>
      </c>
      <c r="B228" s="193">
        <v>50600</v>
      </c>
      <c r="C228" s="226">
        <v>177600</v>
      </c>
      <c r="D228" s="17">
        <v>188100</v>
      </c>
      <c r="E228" s="1">
        <v>419628</v>
      </c>
      <c r="F228" s="17">
        <v>486480</v>
      </c>
      <c r="G228" s="2">
        <v>578400</v>
      </c>
      <c r="H228" s="17">
        <v>1485600</v>
      </c>
      <c r="I228" s="263">
        <v>41000</v>
      </c>
      <c r="J228" s="299">
        <v>122300</v>
      </c>
      <c r="K228" s="336">
        <v>26000</v>
      </c>
      <c r="L228" s="17">
        <v>76400</v>
      </c>
      <c r="M228" s="372">
        <v>241753.60000000001</v>
      </c>
      <c r="N228" s="407">
        <v>14100</v>
      </c>
      <c r="O228" s="17">
        <v>161300</v>
      </c>
      <c r="P228" s="17">
        <v>8500</v>
      </c>
      <c r="Q228" s="17">
        <v>244800</v>
      </c>
      <c r="R228" s="17">
        <v>65600</v>
      </c>
    </row>
    <row r="229" spans="1:18" x14ac:dyDescent="0.35">
      <c r="A229" s="121">
        <v>39173</v>
      </c>
      <c r="B229" s="196">
        <v>54600</v>
      </c>
      <c r="C229" s="229">
        <v>179900</v>
      </c>
      <c r="D229" s="19">
        <v>540400</v>
      </c>
      <c r="E229" s="1">
        <v>584262.80000000005</v>
      </c>
      <c r="F229" s="19">
        <v>177000</v>
      </c>
      <c r="G229" s="2">
        <v>741800</v>
      </c>
      <c r="H229" s="19">
        <v>1931900</v>
      </c>
      <c r="I229" s="265">
        <v>45700</v>
      </c>
      <c r="J229" s="301">
        <v>129600</v>
      </c>
      <c r="K229" s="338">
        <v>73200</v>
      </c>
      <c r="L229" s="19">
        <v>219300</v>
      </c>
      <c r="M229" s="375">
        <v>278031.59999999998</v>
      </c>
      <c r="N229" s="410">
        <v>16900</v>
      </c>
      <c r="O229" s="19">
        <v>195900</v>
      </c>
      <c r="P229" s="19">
        <v>6800</v>
      </c>
      <c r="Q229" s="19">
        <v>286500</v>
      </c>
      <c r="R229" s="19">
        <v>88300</v>
      </c>
    </row>
    <row r="230" spans="1:18" x14ac:dyDescent="0.35">
      <c r="A230" s="121">
        <v>39203</v>
      </c>
      <c r="B230" s="197">
        <v>98500</v>
      </c>
      <c r="C230" s="230">
        <v>313500</v>
      </c>
      <c r="D230" s="10">
        <v>527000</v>
      </c>
      <c r="E230" s="1">
        <v>810906.8</v>
      </c>
      <c r="F230" s="10">
        <v>288000</v>
      </c>
      <c r="G230" s="2">
        <v>1276300</v>
      </c>
      <c r="H230" s="10">
        <v>3689800</v>
      </c>
      <c r="I230" s="266">
        <v>102500</v>
      </c>
      <c r="J230" s="302">
        <v>97400</v>
      </c>
      <c r="K230" s="339">
        <v>125800</v>
      </c>
      <c r="L230" s="10">
        <v>274000</v>
      </c>
      <c r="M230" s="376">
        <v>390530.8</v>
      </c>
      <c r="N230" s="411">
        <v>31800</v>
      </c>
      <c r="O230" s="20">
        <v>291300</v>
      </c>
      <c r="P230" s="20">
        <v>16500</v>
      </c>
      <c r="Q230" s="20">
        <v>410200</v>
      </c>
      <c r="R230" s="20">
        <v>149000</v>
      </c>
    </row>
    <row r="231" spans="1:18" x14ac:dyDescent="0.35">
      <c r="A231" s="121">
        <v>39234</v>
      </c>
      <c r="B231" s="196">
        <v>115200</v>
      </c>
      <c r="C231" s="229">
        <v>233000</v>
      </c>
      <c r="D231" s="19">
        <v>495300</v>
      </c>
      <c r="E231" s="1">
        <v>718678.4</v>
      </c>
      <c r="F231" s="19">
        <v>215000</v>
      </c>
      <c r="G231" s="2">
        <v>836500</v>
      </c>
      <c r="H231" s="19">
        <v>3104600</v>
      </c>
      <c r="I231" s="268">
        <v>82300</v>
      </c>
      <c r="J231" s="304">
        <v>51400</v>
      </c>
      <c r="K231" s="341">
        <v>115700</v>
      </c>
      <c r="L231" s="19">
        <v>404900</v>
      </c>
      <c r="M231" s="375">
        <v>426434.8</v>
      </c>
      <c r="N231" s="410">
        <v>33200</v>
      </c>
      <c r="O231" s="19">
        <v>209200</v>
      </c>
      <c r="P231" s="19">
        <v>12300</v>
      </c>
      <c r="Q231" s="19">
        <v>328600</v>
      </c>
      <c r="R231" s="19">
        <v>124900</v>
      </c>
    </row>
    <row r="232" spans="1:18" x14ac:dyDescent="0.35">
      <c r="A232" s="121">
        <v>39264</v>
      </c>
      <c r="B232" s="196">
        <v>151800</v>
      </c>
      <c r="C232" s="229">
        <v>306600</v>
      </c>
      <c r="D232" s="19">
        <v>546100</v>
      </c>
      <c r="E232" s="1">
        <v>670956</v>
      </c>
      <c r="F232" s="19">
        <v>232000</v>
      </c>
      <c r="G232" s="2">
        <v>844900</v>
      </c>
      <c r="H232" s="19">
        <v>3116400</v>
      </c>
      <c r="I232" s="268">
        <v>86600</v>
      </c>
      <c r="J232" s="304">
        <v>50900</v>
      </c>
      <c r="K232" s="341">
        <v>113400</v>
      </c>
      <c r="L232" s="19">
        <v>396300</v>
      </c>
      <c r="M232" s="375">
        <v>735882.4</v>
      </c>
      <c r="N232" s="410">
        <v>35100</v>
      </c>
      <c r="O232" s="19">
        <v>165400</v>
      </c>
      <c r="P232" s="19">
        <v>14800</v>
      </c>
      <c r="Q232" s="19">
        <v>375600</v>
      </c>
      <c r="R232" s="19">
        <v>202900</v>
      </c>
    </row>
    <row r="233" spans="1:18" x14ac:dyDescent="0.35">
      <c r="A233" s="121">
        <v>39295</v>
      </c>
      <c r="B233" s="196">
        <v>116800</v>
      </c>
      <c r="C233" s="229">
        <v>349200</v>
      </c>
      <c r="D233" s="19">
        <v>579500</v>
      </c>
      <c r="E233" s="1">
        <v>1314385.6000000001</v>
      </c>
      <c r="F233" s="19">
        <v>357000</v>
      </c>
      <c r="G233" s="2">
        <v>823700</v>
      </c>
      <c r="H233" s="19">
        <v>4657700</v>
      </c>
      <c r="I233" s="269">
        <v>104700</v>
      </c>
      <c r="J233" s="305">
        <v>82200</v>
      </c>
      <c r="K233" s="342">
        <v>119200</v>
      </c>
      <c r="L233" s="19">
        <v>485600</v>
      </c>
      <c r="M233" s="375">
        <v>749047.2</v>
      </c>
      <c r="N233" s="410">
        <v>21000</v>
      </c>
      <c r="O233" s="19">
        <v>168100</v>
      </c>
      <c r="P233" s="19">
        <v>29800</v>
      </c>
      <c r="Q233" s="19">
        <v>483200</v>
      </c>
      <c r="R233" s="19">
        <v>233300</v>
      </c>
    </row>
    <row r="234" spans="1:18" x14ac:dyDescent="0.35">
      <c r="A234" s="121">
        <v>39326</v>
      </c>
      <c r="B234" s="196">
        <v>92700</v>
      </c>
      <c r="C234" s="229">
        <v>236500</v>
      </c>
      <c r="D234" s="19">
        <v>392500</v>
      </c>
      <c r="E234" s="1">
        <v>607301.19999999995</v>
      </c>
      <c r="F234" s="19">
        <v>238000</v>
      </c>
      <c r="G234" s="2">
        <v>581200</v>
      </c>
      <c r="H234" s="19">
        <v>2669100</v>
      </c>
      <c r="I234" s="267">
        <v>81700</v>
      </c>
      <c r="J234" s="303">
        <v>70000</v>
      </c>
      <c r="K234" s="340">
        <v>90300</v>
      </c>
      <c r="L234" s="19">
        <v>370300</v>
      </c>
      <c r="M234" s="375">
        <v>502132.4</v>
      </c>
      <c r="N234" s="410">
        <v>14800</v>
      </c>
      <c r="O234" s="19">
        <v>135000</v>
      </c>
      <c r="P234" s="19">
        <v>27300</v>
      </c>
      <c r="Q234" s="19">
        <v>322700</v>
      </c>
      <c r="R234" s="19">
        <v>187000</v>
      </c>
    </row>
    <row r="235" spans="1:18" x14ac:dyDescent="0.35">
      <c r="A235" s="121">
        <v>39356</v>
      </c>
      <c r="B235" s="183">
        <v>71500</v>
      </c>
      <c r="C235" s="216">
        <v>191200</v>
      </c>
      <c r="D235" s="3">
        <v>232400</v>
      </c>
      <c r="E235" s="1">
        <v>500038</v>
      </c>
      <c r="F235" s="3">
        <v>191000</v>
      </c>
      <c r="G235" s="2">
        <v>303300</v>
      </c>
      <c r="H235" s="3">
        <v>1769700</v>
      </c>
      <c r="I235" s="249">
        <v>71400</v>
      </c>
      <c r="J235" s="285">
        <v>57300</v>
      </c>
      <c r="K235" s="323">
        <v>75300</v>
      </c>
      <c r="L235" s="3">
        <v>343200</v>
      </c>
      <c r="M235" s="360">
        <v>394495.2</v>
      </c>
      <c r="N235" s="395">
        <v>7200</v>
      </c>
      <c r="O235" s="3">
        <v>148700</v>
      </c>
      <c r="P235" s="3">
        <v>42800</v>
      </c>
      <c r="Q235" s="3">
        <v>300900</v>
      </c>
      <c r="R235" s="3">
        <v>184900</v>
      </c>
    </row>
    <row r="236" spans="1:18" x14ac:dyDescent="0.35">
      <c r="A236" s="121">
        <v>39387</v>
      </c>
      <c r="B236" s="183">
        <v>68000</v>
      </c>
      <c r="C236" s="216">
        <v>353800</v>
      </c>
      <c r="D236" s="3">
        <v>369500</v>
      </c>
      <c r="E236" s="1">
        <v>541103.19999999995</v>
      </c>
      <c r="F236" s="3">
        <v>156000</v>
      </c>
      <c r="G236" s="2">
        <v>208800</v>
      </c>
      <c r="H236" s="3">
        <v>2087100</v>
      </c>
      <c r="I236" s="249">
        <v>77400</v>
      </c>
      <c r="J236" s="285">
        <v>64700</v>
      </c>
      <c r="K236" s="323">
        <v>69100</v>
      </c>
      <c r="L236" s="3">
        <v>325600</v>
      </c>
      <c r="M236" s="360">
        <v>382676.8</v>
      </c>
      <c r="N236" s="395">
        <v>5300</v>
      </c>
      <c r="O236" s="3">
        <v>157600</v>
      </c>
      <c r="P236" s="3">
        <v>45000</v>
      </c>
      <c r="Q236" s="3">
        <v>347000</v>
      </c>
      <c r="R236" s="3">
        <v>206700</v>
      </c>
    </row>
    <row r="237" spans="1:18" x14ac:dyDescent="0.35">
      <c r="A237" s="121">
        <v>39417</v>
      </c>
      <c r="B237" s="183">
        <v>31600</v>
      </c>
      <c r="C237" s="216">
        <v>53400</v>
      </c>
      <c r="D237" s="3">
        <v>167100</v>
      </c>
      <c r="E237" s="1">
        <v>329419.2</v>
      </c>
      <c r="F237" s="3">
        <v>107000</v>
      </c>
      <c r="G237" s="2">
        <v>119600</v>
      </c>
      <c r="H237" s="3">
        <v>825100</v>
      </c>
      <c r="I237" s="249">
        <v>29600</v>
      </c>
      <c r="J237" s="285">
        <v>11500</v>
      </c>
      <c r="K237" s="323">
        <v>40600</v>
      </c>
      <c r="L237" s="3">
        <v>165200</v>
      </c>
      <c r="M237" s="360">
        <v>118483.2</v>
      </c>
      <c r="N237" s="395">
        <v>2700</v>
      </c>
      <c r="O237" s="3">
        <v>67500</v>
      </c>
      <c r="P237" s="3">
        <v>23800</v>
      </c>
      <c r="Q237" s="3">
        <v>164200</v>
      </c>
      <c r="R237" s="3">
        <v>85300</v>
      </c>
    </row>
    <row r="238" spans="1:18" x14ac:dyDescent="0.35">
      <c r="A238" s="121">
        <v>39448</v>
      </c>
      <c r="B238" s="183">
        <v>32500</v>
      </c>
      <c r="C238" s="216">
        <v>48000</v>
      </c>
      <c r="D238" s="3">
        <v>282600</v>
      </c>
      <c r="E238" s="1">
        <v>213329.6</v>
      </c>
      <c r="F238" s="3">
        <v>78000</v>
      </c>
      <c r="G238" s="2">
        <v>0</v>
      </c>
      <c r="H238" s="3">
        <v>1155400</v>
      </c>
      <c r="I238" s="249">
        <v>31200</v>
      </c>
      <c r="J238" s="285">
        <v>7700</v>
      </c>
      <c r="K238" s="323">
        <v>39800</v>
      </c>
      <c r="L238" s="3">
        <v>33200</v>
      </c>
      <c r="M238" s="360">
        <v>195976</v>
      </c>
      <c r="N238" s="395">
        <v>4000</v>
      </c>
      <c r="O238" s="3">
        <v>74200</v>
      </c>
      <c r="P238" s="3">
        <v>23900</v>
      </c>
      <c r="Q238" s="3">
        <v>175300</v>
      </c>
      <c r="R238" s="3">
        <v>98700</v>
      </c>
    </row>
    <row r="239" spans="1:18" x14ac:dyDescent="0.35">
      <c r="A239" s="121">
        <v>39479</v>
      </c>
      <c r="B239" s="183">
        <v>38800</v>
      </c>
      <c r="C239" s="216">
        <v>119400</v>
      </c>
      <c r="D239" s="3">
        <v>131900</v>
      </c>
      <c r="E239" s="1">
        <v>220809.60000000001</v>
      </c>
      <c r="F239" s="3">
        <v>78000</v>
      </c>
      <c r="G239" s="2">
        <v>25400</v>
      </c>
      <c r="H239" s="3">
        <v>1166200</v>
      </c>
      <c r="I239" s="249">
        <v>41500</v>
      </c>
      <c r="J239" s="285">
        <v>17400</v>
      </c>
      <c r="K239" s="323">
        <v>1400</v>
      </c>
      <c r="L239" s="3">
        <v>112500</v>
      </c>
      <c r="M239" s="360">
        <v>226868.4</v>
      </c>
      <c r="N239" s="395">
        <v>3300</v>
      </c>
      <c r="O239" s="3">
        <v>97100</v>
      </c>
      <c r="P239" s="3">
        <v>23900</v>
      </c>
      <c r="Q239" s="3">
        <v>182600</v>
      </c>
      <c r="R239" s="3">
        <v>109800</v>
      </c>
    </row>
    <row r="240" spans="1:18" x14ac:dyDescent="0.35">
      <c r="A240" s="121">
        <v>39508</v>
      </c>
      <c r="B240" s="183">
        <v>91300</v>
      </c>
      <c r="C240" s="216">
        <v>238000</v>
      </c>
      <c r="D240" s="3">
        <v>224500</v>
      </c>
      <c r="E240" s="1">
        <v>564291.19999999995</v>
      </c>
      <c r="F240" s="3">
        <v>203000</v>
      </c>
      <c r="G240" s="2">
        <v>808500</v>
      </c>
      <c r="H240" s="3">
        <v>2619300</v>
      </c>
      <c r="I240" s="249">
        <v>64700</v>
      </c>
      <c r="J240" s="285">
        <v>44300</v>
      </c>
      <c r="K240" s="323">
        <v>34700</v>
      </c>
      <c r="L240" s="3">
        <v>352700</v>
      </c>
      <c r="M240" s="360">
        <v>428230</v>
      </c>
      <c r="N240" s="395">
        <v>7900</v>
      </c>
      <c r="O240" s="3">
        <v>139300</v>
      </c>
      <c r="P240" s="3">
        <v>24200</v>
      </c>
      <c r="Q240" s="3">
        <v>307300</v>
      </c>
      <c r="R240" s="3">
        <v>226800</v>
      </c>
    </row>
    <row r="241" spans="1:18" x14ac:dyDescent="0.35">
      <c r="A241" s="121">
        <v>39539</v>
      </c>
      <c r="B241" s="183">
        <v>62700</v>
      </c>
      <c r="C241" s="216">
        <v>214800</v>
      </c>
      <c r="D241" s="3">
        <v>368500</v>
      </c>
      <c r="E241" s="1">
        <v>703045.2</v>
      </c>
      <c r="F241" s="3">
        <v>204000</v>
      </c>
      <c r="G241" s="2">
        <v>912700</v>
      </c>
      <c r="H241" s="3">
        <v>2311600</v>
      </c>
      <c r="I241" s="249">
        <v>63900</v>
      </c>
      <c r="J241" s="285">
        <v>52700</v>
      </c>
      <c r="K241" s="323">
        <v>66200</v>
      </c>
      <c r="L241" s="3">
        <v>319600</v>
      </c>
      <c r="M241" s="360">
        <v>349914.4</v>
      </c>
      <c r="N241" s="395">
        <v>5900</v>
      </c>
      <c r="O241" s="3">
        <v>800</v>
      </c>
      <c r="P241" s="3">
        <v>17800</v>
      </c>
      <c r="Q241" s="3">
        <v>289400</v>
      </c>
      <c r="R241" s="3">
        <v>193900</v>
      </c>
    </row>
    <row r="242" spans="1:18" x14ac:dyDescent="0.35">
      <c r="A242" s="121">
        <v>39569</v>
      </c>
      <c r="B242" s="183">
        <v>98700</v>
      </c>
      <c r="C242" s="216">
        <v>268100</v>
      </c>
      <c r="D242" s="3">
        <v>673800</v>
      </c>
      <c r="E242" s="1">
        <v>907398.8</v>
      </c>
      <c r="F242" s="3">
        <v>282000</v>
      </c>
      <c r="G242" s="2">
        <v>1214500</v>
      </c>
      <c r="H242" s="3">
        <v>3030800</v>
      </c>
      <c r="I242" s="249">
        <v>130100</v>
      </c>
      <c r="J242" s="285">
        <v>83000</v>
      </c>
      <c r="K242" s="323">
        <v>104500</v>
      </c>
      <c r="L242" s="3">
        <v>321400</v>
      </c>
      <c r="M242" s="360">
        <v>526292.80000000005</v>
      </c>
      <c r="N242" s="395">
        <v>14400</v>
      </c>
      <c r="O242" s="3">
        <v>157600</v>
      </c>
      <c r="P242" s="3">
        <v>51900</v>
      </c>
      <c r="Q242" s="3">
        <v>396000</v>
      </c>
      <c r="R242" s="3">
        <v>253100</v>
      </c>
    </row>
    <row r="243" spans="1:18" x14ac:dyDescent="0.35">
      <c r="A243" s="121">
        <v>39600</v>
      </c>
      <c r="B243" s="183">
        <v>70200</v>
      </c>
      <c r="C243" s="216">
        <v>224700</v>
      </c>
      <c r="D243" s="3">
        <v>523500</v>
      </c>
      <c r="E243" s="1">
        <v>743512</v>
      </c>
      <c r="F243" s="3">
        <v>234000</v>
      </c>
      <c r="G243" s="2">
        <v>1149000</v>
      </c>
      <c r="H243" s="3">
        <v>3213800</v>
      </c>
      <c r="I243" s="249">
        <v>72500</v>
      </c>
      <c r="J243" s="285">
        <v>55900</v>
      </c>
      <c r="K243" s="323">
        <v>93400</v>
      </c>
      <c r="L243" s="3">
        <v>415200</v>
      </c>
      <c r="M243" s="360">
        <v>470716.4</v>
      </c>
      <c r="N243" s="395">
        <v>40500</v>
      </c>
      <c r="O243" s="3">
        <v>158900</v>
      </c>
      <c r="P243" s="3">
        <v>46500</v>
      </c>
      <c r="Q243" s="3">
        <v>317700</v>
      </c>
      <c r="R243" s="3">
        <v>698300</v>
      </c>
    </row>
    <row r="244" spans="1:18" x14ac:dyDescent="0.35">
      <c r="A244" s="121">
        <v>39630</v>
      </c>
      <c r="B244" s="183">
        <v>117300</v>
      </c>
      <c r="C244" s="216">
        <v>287500</v>
      </c>
      <c r="D244" s="3">
        <v>675800</v>
      </c>
      <c r="E244" s="1">
        <v>841724.4</v>
      </c>
      <c r="F244" s="3">
        <v>290000</v>
      </c>
      <c r="G244" s="2">
        <v>1393900</v>
      </c>
      <c r="H244" s="3">
        <v>4109200</v>
      </c>
      <c r="I244" s="249">
        <v>119400</v>
      </c>
      <c r="J244" s="285">
        <v>144900</v>
      </c>
      <c r="K244" s="323">
        <v>129100</v>
      </c>
      <c r="L244" s="3">
        <v>545200</v>
      </c>
      <c r="M244" s="360">
        <v>672377.2</v>
      </c>
      <c r="N244" s="395">
        <v>41300</v>
      </c>
      <c r="O244" s="3">
        <v>249600</v>
      </c>
      <c r="P244" s="3">
        <v>65600</v>
      </c>
      <c r="Q244" s="3">
        <v>468200</v>
      </c>
      <c r="R244" s="3">
        <v>288600</v>
      </c>
    </row>
    <row r="245" spans="1:18" x14ac:dyDescent="0.35">
      <c r="A245" s="121">
        <v>39661</v>
      </c>
      <c r="B245" s="183">
        <v>77700</v>
      </c>
      <c r="C245" s="216">
        <v>213900</v>
      </c>
      <c r="D245" s="3">
        <v>541800</v>
      </c>
      <c r="E245" s="1">
        <v>792805.2</v>
      </c>
      <c r="F245" s="3">
        <v>266000</v>
      </c>
      <c r="G245" s="2">
        <v>1096900</v>
      </c>
      <c r="H245" s="3">
        <v>3129600</v>
      </c>
      <c r="I245" s="249">
        <v>64900</v>
      </c>
      <c r="J245" s="285">
        <v>62700</v>
      </c>
      <c r="K245" s="323">
        <v>64000</v>
      </c>
      <c r="L245" s="3">
        <v>318800</v>
      </c>
      <c r="M245" s="360">
        <v>482759.2</v>
      </c>
      <c r="N245" s="395">
        <v>29800</v>
      </c>
      <c r="O245" s="3">
        <v>228500</v>
      </c>
      <c r="P245" s="3">
        <v>44400</v>
      </c>
      <c r="Q245" s="3">
        <v>416200</v>
      </c>
      <c r="R245" s="3">
        <v>312300</v>
      </c>
    </row>
    <row r="246" spans="1:18" x14ac:dyDescent="0.35">
      <c r="A246" s="121">
        <v>39692</v>
      </c>
      <c r="B246" s="183">
        <v>48700</v>
      </c>
      <c r="C246" s="216">
        <v>290700</v>
      </c>
      <c r="D246" s="3">
        <v>588100</v>
      </c>
      <c r="E246" s="1">
        <v>597801.6</v>
      </c>
      <c r="F246" s="3">
        <v>228000</v>
      </c>
      <c r="G246" s="2">
        <v>813200</v>
      </c>
      <c r="H246" s="3">
        <v>2354000</v>
      </c>
      <c r="I246" s="249">
        <v>65700</v>
      </c>
      <c r="J246" s="285">
        <v>46700</v>
      </c>
      <c r="K246" s="323">
        <v>91200</v>
      </c>
      <c r="L246" s="3">
        <v>374200</v>
      </c>
      <c r="M246" s="360">
        <v>520308.8</v>
      </c>
      <c r="N246" s="395">
        <v>23400</v>
      </c>
      <c r="O246" s="3">
        <v>166200</v>
      </c>
      <c r="P246" s="3">
        <v>37300</v>
      </c>
      <c r="Q246" s="3">
        <v>322200</v>
      </c>
      <c r="R246" s="3">
        <v>186300</v>
      </c>
    </row>
    <row r="247" spans="1:18" x14ac:dyDescent="0.35">
      <c r="A247" s="121">
        <v>39722</v>
      </c>
      <c r="B247" s="199">
        <v>76900</v>
      </c>
      <c r="C247" s="232">
        <v>306900</v>
      </c>
      <c r="D247" s="21">
        <v>834300</v>
      </c>
      <c r="E247" s="1">
        <v>871120.8</v>
      </c>
      <c r="F247" s="21">
        <v>205000</v>
      </c>
      <c r="G247" s="2">
        <v>1126200</v>
      </c>
      <c r="H247" s="21">
        <v>3665000</v>
      </c>
      <c r="I247" s="270">
        <v>95800</v>
      </c>
      <c r="J247" s="306">
        <v>85800</v>
      </c>
      <c r="K247" s="343">
        <v>146700</v>
      </c>
      <c r="L247" s="21">
        <v>523400</v>
      </c>
      <c r="M247" s="378">
        <v>575286.80000000005</v>
      </c>
      <c r="N247" s="413">
        <v>34600</v>
      </c>
      <c r="O247" s="21">
        <v>241300</v>
      </c>
      <c r="P247" s="21">
        <v>70500</v>
      </c>
      <c r="Q247" s="21">
        <v>461500</v>
      </c>
      <c r="R247" s="21">
        <v>343300</v>
      </c>
    </row>
    <row r="248" spans="1:18" x14ac:dyDescent="0.35">
      <c r="A248" s="121">
        <v>39753</v>
      </c>
      <c r="B248" s="199">
        <v>66700</v>
      </c>
      <c r="C248" s="232">
        <v>180600</v>
      </c>
      <c r="D248" s="21">
        <v>550800</v>
      </c>
      <c r="E248" s="1">
        <v>629965.6</v>
      </c>
      <c r="F248" s="21">
        <v>165000</v>
      </c>
      <c r="G248" s="2">
        <v>745600</v>
      </c>
      <c r="H248" s="21">
        <v>2256100</v>
      </c>
      <c r="I248" s="270">
        <v>57400</v>
      </c>
      <c r="J248" s="306">
        <v>54700</v>
      </c>
      <c r="K248" s="343">
        <v>90100</v>
      </c>
      <c r="L248" s="21">
        <v>359900</v>
      </c>
      <c r="M248" s="378">
        <v>447827.6</v>
      </c>
      <c r="N248" s="413">
        <v>17700</v>
      </c>
      <c r="O248" s="21">
        <v>199500</v>
      </c>
      <c r="P248" s="21">
        <v>64800</v>
      </c>
      <c r="Q248" s="21">
        <v>363000</v>
      </c>
      <c r="R248" s="21">
        <v>230800</v>
      </c>
    </row>
    <row r="249" spans="1:18" x14ac:dyDescent="0.35">
      <c r="A249" s="121">
        <v>39783</v>
      </c>
      <c r="B249" s="199">
        <v>1300</v>
      </c>
      <c r="C249" s="232">
        <v>46400</v>
      </c>
      <c r="D249" s="21">
        <v>139800</v>
      </c>
      <c r="E249" s="1">
        <v>369362.4</v>
      </c>
      <c r="F249" s="21">
        <v>56000</v>
      </c>
      <c r="G249" s="2">
        <v>283000</v>
      </c>
      <c r="H249" s="21">
        <v>823700</v>
      </c>
      <c r="I249" s="270">
        <v>17000</v>
      </c>
      <c r="J249" s="306">
        <v>1300</v>
      </c>
      <c r="K249" s="343">
        <v>17200</v>
      </c>
      <c r="L249" s="21">
        <v>46700</v>
      </c>
      <c r="M249" s="378">
        <v>124841.2</v>
      </c>
      <c r="N249" s="413">
        <v>0</v>
      </c>
      <c r="O249" s="21">
        <v>6500</v>
      </c>
      <c r="P249" s="21">
        <v>6100</v>
      </c>
      <c r="Q249" s="21">
        <v>69800</v>
      </c>
      <c r="R249" s="21">
        <v>16900</v>
      </c>
    </row>
    <row r="250" spans="1:18" x14ac:dyDescent="0.35">
      <c r="A250" s="121">
        <v>39814</v>
      </c>
      <c r="B250" s="199">
        <v>55800</v>
      </c>
      <c r="C250" s="232">
        <v>200800</v>
      </c>
      <c r="D250" s="21">
        <v>412700</v>
      </c>
      <c r="E250" s="1">
        <v>672078</v>
      </c>
      <c r="F250" s="21">
        <v>151000</v>
      </c>
      <c r="G250" s="2">
        <v>964900</v>
      </c>
      <c r="H250" s="21">
        <v>1904500</v>
      </c>
      <c r="I250" s="270">
        <v>110800</v>
      </c>
      <c r="J250" s="306">
        <v>62400</v>
      </c>
      <c r="K250" s="343">
        <v>96300</v>
      </c>
      <c r="L250" s="21">
        <v>342900</v>
      </c>
      <c r="M250" s="378">
        <v>392176.4</v>
      </c>
      <c r="N250" s="413">
        <v>11000</v>
      </c>
      <c r="O250" s="21">
        <v>216100</v>
      </c>
      <c r="P250" s="21">
        <v>73000</v>
      </c>
      <c r="Q250" s="21">
        <v>387100</v>
      </c>
      <c r="R250" s="21">
        <v>202200</v>
      </c>
    </row>
    <row r="251" spans="1:18" x14ac:dyDescent="0.35">
      <c r="A251" s="121">
        <v>39845</v>
      </c>
      <c r="B251" s="199">
        <v>15700</v>
      </c>
      <c r="C251" s="232">
        <v>71700</v>
      </c>
      <c r="D251" s="21">
        <v>163500</v>
      </c>
      <c r="E251" s="1">
        <v>288354</v>
      </c>
      <c r="F251" s="21">
        <v>46000</v>
      </c>
      <c r="G251" s="2">
        <v>282000</v>
      </c>
      <c r="H251" s="21">
        <v>614700</v>
      </c>
      <c r="I251" s="270">
        <v>16900</v>
      </c>
      <c r="J251" s="306">
        <v>14000</v>
      </c>
      <c r="K251" s="343">
        <v>11800</v>
      </c>
      <c r="L251" s="21">
        <v>99600</v>
      </c>
      <c r="M251" s="378">
        <v>111152.8</v>
      </c>
      <c r="N251" s="413">
        <v>6800</v>
      </c>
      <c r="O251" s="21">
        <v>55000</v>
      </c>
      <c r="P251" s="21">
        <v>20300</v>
      </c>
      <c r="Q251" s="21">
        <v>109600</v>
      </c>
      <c r="R251" s="21">
        <v>25500</v>
      </c>
    </row>
    <row r="252" spans="1:18" x14ac:dyDescent="0.35">
      <c r="A252" s="121">
        <v>39873</v>
      </c>
      <c r="B252" s="199">
        <v>22700</v>
      </c>
      <c r="C252" s="232">
        <v>145100</v>
      </c>
      <c r="D252" s="21">
        <v>226800</v>
      </c>
      <c r="E252" s="1">
        <v>488892.8</v>
      </c>
      <c r="F252" s="21">
        <v>114000</v>
      </c>
      <c r="G252" s="2">
        <v>694600</v>
      </c>
      <c r="H252" s="21">
        <v>1709300</v>
      </c>
      <c r="I252" s="270">
        <v>52900</v>
      </c>
      <c r="J252" s="306">
        <v>28200</v>
      </c>
      <c r="K252" s="343">
        <v>39900</v>
      </c>
      <c r="L252" s="21">
        <v>167900</v>
      </c>
      <c r="M252" s="378">
        <v>301369.2</v>
      </c>
      <c r="N252" s="413">
        <v>88800</v>
      </c>
      <c r="O252" s="21">
        <v>148100</v>
      </c>
      <c r="P252" s="21">
        <v>40800</v>
      </c>
      <c r="Q252" s="21">
        <v>233600</v>
      </c>
      <c r="R252" s="21">
        <v>107100</v>
      </c>
    </row>
    <row r="253" spans="1:18" x14ac:dyDescent="0.35">
      <c r="A253" s="121">
        <v>39904</v>
      </c>
      <c r="B253" s="200">
        <v>110600</v>
      </c>
      <c r="C253" s="233">
        <v>342800</v>
      </c>
      <c r="D253" s="22">
        <v>861300</v>
      </c>
      <c r="E253" s="1">
        <v>970530</v>
      </c>
      <c r="F253" s="22">
        <v>304000</v>
      </c>
      <c r="G253" s="2">
        <v>1375500</v>
      </c>
      <c r="H253" s="22">
        <v>3428600</v>
      </c>
      <c r="I253" s="271">
        <v>111300</v>
      </c>
      <c r="J253" s="307">
        <v>80800</v>
      </c>
      <c r="K253" s="344">
        <v>90500</v>
      </c>
      <c r="L253" s="22">
        <v>414900</v>
      </c>
      <c r="M253" s="379">
        <v>523824.4</v>
      </c>
      <c r="N253" s="414">
        <v>30500</v>
      </c>
      <c r="O253" s="22">
        <v>322400</v>
      </c>
      <c r="P253" s="22">
        <v>70600</v>
      </c>
      <c r="Q253" s="22">
        <v>484800</v>
      </c>
      <c r="R253" s="22">
        <v>267800</v>
      </c>
    </row>
    <row r="254" spans="1:18" x14ac:dyDescent="0.35">
      <c r="A254" s="121">
        <v>39934</v>
      </c>
      <c r="B254" s="200">
        <v>54100</v>
      </c>
      <c r="C254" s="233">
        <v>147200</v>
      </c>
      <c r="D254" s="22">
        <v>562800</v>
      </c>
      <c r="E254" s="1">
        <v>739248.4</v>
      </c>
      <c r="F254" s="22">
        <v>210000</v>
      </c>
      <c r="G254" s="2">
        <v>927400</v>
      </c>
      <c r="H254" s="22">
        <v>2284900</v>
      </c>
      <c r="I254" s="271">
        <v>66300</v>
      </c>
      <c r="J254" s="307">
        <v>48800</v>
      </c>
      <c r="K254" s="344">
        <v>80500</v>
      </c>
      <c r="L254" s="22">
        <v>270800</v>
      </c>
      <c r="M254" s="379">
        <v>390979.6</v>
      </c>
      <c r="N254" s="414">
        <v>26300</v>
      </c>
      <c r="O254" s="22">
        <v>173700</v>
      </c>
      <c r="P254" s="22">
        <v>38200</v>
      </c>
      <c r="Q254" s="22">
        <v>313600</v>
      </c>
      <c r="R254" s="22">
        <v>161600</v>
      </c>
    </row>
    <row r="255" spans="1:18" x14ac:dyDescent="0.35">
      <c r="A255" s="121">
        <v>39965</v>
      </c>
      <c r="B255" s="200">
        <v>68900</v>
      </c>
      <c r="C255" s="233">
        <v>159300</v>
      </c>
      <c r="D255" s="22">
        <v>477100</v>
      </c>
      <c r="E255" s="1">
        <v>584936</v>
      </c>
      <c r="F255" s="22">
        <v>274000</v>
      </c>
      <c r="G255" s="2">
        <v>617900</v>
      </c>
      <c r="H255" s="22">
        <v>1988700</v>
      </c>
      <c r="I255" s="271">
        <v>52700</v>
      </c>
      <c r="J255" s="307">
        <v>37100</v>
      </c>
      <c r="K255" s="344">
        <v>59100</v>
      </c>
      <c r="L255" s="22">
        <v>206200</v>
      </c>
      <c r="M255" s="379">
        <v>312664</v>
      </c>
      <c r="N255" s="414">
        <v>14800</v>
      </c>
      <c r="O255" s="22">
        <v>14500</v>
      </c>
      <c r="P255" s="22">
        <v>41300</v>
      </c>
      <c r="Q255" s="22">
        <v>243100</v>
      </c>
      <c r="R255" s="22">
        <v>143100</v>
      </c>
    </row>
    <row r="256" spans="1:18" x14ac:dyDescent="0.35">
      <c r="A256" s="121">
        <v>39995</v>
      </c>
      <c r="B256" s="200">
        <v>245600</v>
      </c>
      <c r="C256" s="233">
        <v>263600</v>
      </c>
      <c r="D256" s="22">
        <v>687000</v>
      </c>
      <c r="E256" s="1">
        <v>801182.8</v>
      </c>
      <c r="F256" s="22">
        <v>371000</v>
      </c>
      <c r="G256" s="2">
        <v>1579300</v>
      </c>
      <c r="H256" s="22">
        <v>3840800</v>
      </c>
      <c r="I256" s="271">
        <v>100000</v>
      </c>
      <c r="J256" s="307">
        <v>121000</v>
      </c>
      <c r="K256" s="344">
        <v>112200</v>
      </c>
      <c r="L256" s="22">
        <v>453100</v>
      </c>
      <c r="M256" s="379">
        <v>845688.8</v>
      </c>
      <c r="N256" s="414">
        <v>35200</v>
      </c>
      <c r="O256" s="22">
        <v>5800</v>
      </c>
      <c r="P256" s="22">
        <v>64000</v>
      </c>
      <c r="Q256" s="22">
        <v>431200</v>
      </c>
      <c r="R256" s="22">
        <v>263500</v>
      </c>
    </row>
    <row r="257" spans="1:18" x14ac:dyDescent="0.35">
      <c r="A257" s="121">
        <v>40026</v>
      </c>
      <c r="B257" s="200">
        <v>148700</v>
      </c>
      <c r="C257" s="233">
        <v>207700</v>
      </c>
      <c r="D257" s="22">
        <v>491500</v>
      </c>
      <c r="E257" s="1">
        <v>1067545.6000000001</v>
      </c>
      <c r="F257" s="22">
        <v>225000</v>
      </c>
      <c r="G257" s="2">
        <v>847300</v>
      </c>
      <c r="H257" s="22">
        <v>3228400</v>
      </c>
      <c r="I257" s="271">
        <v>86900</v>
      </c>
      <c r="J257" s="307">
        <v>53700</v>
      </c>
      <c r="K257" s="344">
        <v>68000</v>
      </c>
      <c r="L257" s="22">
        <v>301800</v>
      </c>
      <c r="M257" s="379">
        <v>587778.4</v>
      </c>
      <c r="N257" s="414">
        <v>10000</v>
      </c>
      <c r="O257" s="22">
        <v>0</v>
      </c>
      <c r="P257" s="22">
        <v>28700</v>
      </c>
      <c r="Q257" s="22">
        <v>267800</v>
      </c>
      <c r="R257" s="22">
        <v>112500</v>
      </c>
    </row>
    <row r="258" spans="1:18" x14ac:dyDescent="0.35">
      <c r="A258" s="121">
        <v>40057</v>
      </c>
      <c r="B258" s="200">
        <v>141800</v>
      </c>
      <c r="C258" s="233">
        <v>185500</v>
      </c>
      <c r="D258" s="22">
        <v>545200</v>
      </c>
      <c r="E258" s="1">
        <v>607600.4</v>
      </c>
      <c r="F258" s="22">
        <v>244000</v>
      </c>
      <c r="G258" s="2">
        <v>1220700</v>
      </c>
      <c r="H258" s="22">
        <v>3143500</v>
      </c>
      <c r="I258" s="271">
        <v>82000</v>
      </c>
      <c r="J258" s="307">
        <v>62000</v>
      </c>
      <c r="K258" s="344">
        <v>75900</v>
      </c>
      <c r="L258" s="22">
        <v>355100</v>
      </c>
      <c r="M258" s="379">
        <v>344379.2</v>
      </c>
      <c r="N258" s="414">
        <v>39800</v>
      </c>
      <c r="O258" s="22">
        <v>0</v>
      </c>
      <c r="P258" s="22">
        <v>44700</v>
      </c>
      <c r="Q258" s="22">
        <v>365700</v>
      </c>
      <c r="R258" s="22">
        <v>279500</v>
      </c>
    </row>
    <row r="259" spans="1:18" x14ac:dyDescent="0.35">
      <c r="A259" s="121">
        <v>40087</v>
      </c>
      <c r="B259" s="201">
        <v>119600</v>
      </c>
      <c r="C259" s="234">
        <v>207300</v>
      </c>
      <c r="D259" s="24">
        <v>498000</v>
      </c>
      <c r="E259" s="1">
        <v>711122</v>
      </c>
      <c r="F259" s="24">
        <v>194000</v>
      </c>
      <c r="G259" s="2">
        <v>1087400</v>
      </c>
      <c r="H259" s="24">
        <v>3272300</v>
      </c>
      <c r="I259" s="272">
        <v>83700</v>
      </c>
      <c r="J259" s="308">
        <v>61400</v>
      </c>
      <c r="K259" s="345">
        <v>90100</v>
      </c>
      <c r="L259" s="24">
        <v>326900</v>
      </c>
      <c r="M259" s="380">
        <v>399357.2</v>
      </c>
      <c r="N259" s="415">
        <v>25600</v>
      </c>
      <c r="O259" s="24">
        <v>0</v>
      </c>
      <c r="P259" s="24">
        <v>41600</v>
      </c>
      <c r="Q259" s="24">
        <v>271200</v>
      </c>
      <c r="R259" s="24">
        <v>212500</v>
      </c>
    </row>
    <row r="260" spans="1:18" x14ac:dyDescent="0.35">
      <c r="A260" s="121">
        <v>40118</v>
      </c>
      <c r="B260" s="201">
        <v>78100</v>
      </c>
      <c r="C260" s="234">
        <v>230900</v>
      </c>
      <c r="D260" s="24">
        <v>326600</v>
      </c>
      <c r="E260" s="1">
        <v>579527.19999999995</v>
      </c>
      <c r="F260" s="24">
        <v>209000</v>
      </c>
      <c r="G260" s="2">
        <v>761200</v>
      </c>
      <c r="H260" s="24">
        <v>1882500</v>
      </c>
      <c r="I260" s="272">
        <v>81100</v>
      </c>
      <c r="J260" s="308">
        <v>57500</v>
      </c>
      <c r="K260" s="345">
        <v>67700</v>
      </c>
      <c r="L260" s="24">
        <v>331000</v>
      </c>
      <c r="M260" s="380">
        <v>318573.2</v>
      </c>
      <c r="N260" s="415">
        <v>47800</v>
      </c>
      <c r="O260" s="24">
        <v>52700</v>
      </c>
      <c r="P260" s="24">
        <v>44600</v>
      </c>
      <c r="Q260" s="24">
        <v>206100</v>
      </c>
      <c r="R260" s="24">
        <v>187800</v>
      </c>
    </row>
    <row r="261" spans="1:18" x14ac:dyDescent="0.35">
      <c r="A261" s="121">
        <v>40148</v>
      </c>
      <c r="B261" s="201">
        <v>96100</v>
      </c>
      <c r="C261" s="234">
        <v>88800</v>
      </c>
      <c r="D261" s="24">
        <v>245500</v>
      </c>
      <c r="E261" s="1">
        <v>415026</v>
      </c>
      <c r="F261" s="24">
        <v>91000</v>
      </c>
      <c r="G261" s="2">
        <v>330230</v>
      </c>
      <c r="H261" s="24">
        <v>914300</v>
      </c>
      <c r="I261" s="272">
        <v>34400</v>
      </c>
      <c r="J261" s="308">
        <v>27300</v>
      </c>
      <c r="K261" s="345">
        <v>49300</v>
      </c>
      <c r="L261" s="24">
        <v>176300</v>
      </c>
      <c r="M261" s="380">
        <v>129778</v>
      </c>
      <c r="N261" s="415">
        <v>20500</v>
      </c>
      <c r="O261" s="24">
        <v>99800</v>
      </c>
      <c r="P261" s="24">
        <v>21700</v>
      </c>
      <c r="Q261" s="24">
        <v>84400</v>
      </c>
      <c r="R261" s="24">
        <v>67900</v>
      </c>
    </row>
    <row r="262" spans="1:18" x14ac:dyDescent="0.35">
      <c r="A262" s="121">
        <v>40179</v>
      </c>
      <c r="B262" s="201">
        <v>51600</v>
      </c>
      <c r="C262" s="234">
        <v>95000</v>
      </c>
      <c r="D262" s="24">
        <v>238800</v>
      </c>
      <c r="E262" s="1">
        <v>196136</v>
      </c>
      <c r="F262" s="24">
        <v>60000</v>
      </c>
      <c r="G262" s="2">
        <v>218170</v>
      </c>
      <c r="H262" s="24">
        <v>731100</v>
      </c>
      <c r="I262" s="272">
        <v>36100</v>
      </c>
      <c r="J262" s="308">
        <v>28500</v>
      </c>
      <c r="K262" s="345">
        <v>46900</v>
      </c>
      <c r="L262" s="24">
        <v>125600</v>
      </c>
      <c r="M262" s="380">
        <v>98062.8</v>
      </c>
      <c r="N262" s="415">
        <v>27100</v>
      </c>
      <c r="O262" s="24">
        <v>100800</v>
      </c>
      <c r="P262" s="24">
        <v>20100</v>
      </c>
      <c r="Q262" s="24">
        <v>109100</v>
      </c>
      <c r="R262" s="24">
        <v>92400</v>
      </c>
    </row>
    <row r="263" spans="1:18" x14ac:dyDescent="0.35">
      <c r="A263" s="121">
        <v>40210</v>
      </c>
      <c r="B263" s="201">
        <v>0</v>
      </c>
      <c r="C263" s="234">
        <v>63200</v>
      </c>
      <c r="D263" s="24">
        <v>22400</v>
      </c>
      <c r="E263" s="1">
        <v>164386.79999999999</v>
      </c>
      <c r="F263" s="24">
        <v>54000</v>
      </c>
      <c r="G263" s="2">
        <v>1125000</v>
      </c>
      <c r="H263" s="24">
        <v>134100</v>
      </c>
      <c r="I263" s="272">
        <v>3800</v>
      </c>
      <c r="J263" s="308">
        <v>500</v>
      </c>
      <c r="K263" s="345">
        <v>200</v>
      </c>
      <c r="L263" s="24">
        <v>93300</v>
      </c>
      <c r="M263" s="380">
        <v>84150</v>
      </c>
      <c r="N263" s="415">
        <v>3600</v>
      </c>
      <c r="O263" s="24">
        <v>38900</v>
      </c>
      <c r="P263" s="24">
        <v>20500</v>
      </c>
      <c r="Q263" s="24">
        <v>18200</v>
      </c>
      <c r="R263" s="24">
        <v>79400</v>
      </c>
    </row>
    <row r="264" spans="1:18" x14ac:dyDescent="0.35">
      <c r="A264" s="121">
        <v>40238</v>
      </c>
      <c r="B264" s="201">
        <v>50900</v>
      </c>
      <c r="C264" s="234">
        <v>158900</v>
      </c>
      <c r="D264" s="24">
        <v>240300</v>
      </c>
      <c r="E264" s="1">
        <v>304475.2</v>
      </c>
      <c r="F264" s="24">
        <v>79000</v>
      </c>
      <c r="G264" s="2">
        <v>284300</v>
      </c>
      <c r="H264" s="24">
        <v>948300</v>
      </c>
      <c r="I264" s="272">
        <v>62100</v>
      </c>
      <c r="J264" s="308">
        <v>34000</v>
      </c>
      <c r="K264" s="345">
        <v>71600</v>
      </c>
      <c r="L264" s="24">
        <v>184800</v>
      </c>
      <c r="M264" s="380">
        <v>307802</v>
      </c>
      <c r="N264" s="415">
        <v>13600</v>
      </c>
      <c r="O264" s="24">
        <v>129100</v>
      </c>
      <c r="P264" s="24">
        <v>53600</v>
      </c>
      <c r="Q264" s="24">
        <v>187400</v>
      </c>
      <c r="R264" s="24">
        <v>55900</v>
      </c>
    </row>
    <row r="265" spans="1:18" x14ac:dyDescent="0.35">
      <c r="A265" s="121">
        <v>40269</v>
      </c>
      <c r="B265" s="202">
        <v>117000</v>
      </c>
      <c r="C265" s="235">
        <v>219800</v>
      </c>
      <c r="D265" s="26">
        <v>469100</v>
      </c>
      <c r="E265" s="1">
        <v>791247.6</v>
      </c>
      <c r="F265" s="26">
        <v>186000</v>
      </c>
      <c r="G265" s="2">
        <v>673700</v>
      </c>
      <c r="H265" s="26">
        <v>2301900</v>
      </c>
      <c r="I265" s="273">
        <v>78100</v>
      </c>
      <c r="J265" s="309">
        <v>86800</v>
      </c>
      <c r="K265" s="346">
        <v>124300</v>
      </c>
      <c r="L265" s="26">
        <v>375300</v>
      </c>
      <c r="M265" s="381">
        <v>724438</v>
      </c>
      <c r="N265" s="416">
        <v>26600</v>
      </c>
      <c r="O265" s="26">
        <v>227200</v>
      </c>
      <c r="P265" s="26">
        <v>83200</v>
      </c>
      <c r="Q265" s="26">
        <v>332900</v>
      </c>
      <c r="R265" s="26">
        <v>224300</v>
      </c>
    </row>
    <row r="266" spans="1:18" x14ac:dyDescent="0.35">
      <c r="A266" s="121">
        <v>40299</v>
      </c>
      <c r="B266" s="202">
        <v>158800</v>
      </c>
      <c r="C266" s="235">
        <v>238400</v>
      </c>
      <c r="D266" s="26">
        <v>434500</v>
      </c>
      <c r="E266" s="1">
        <v>675939.6</v>
      </c>
      <c r="F266" s="26">
        <v>199000</v>
      </c>
      <c r="G266" s="2">
        <v>561300</v>
      </c>
      <c r="H266" s="26">
        <v>2137100</v>
      </c>
      <c r="I266" s="273">
        <v>66500</v>
      </c>
      <c r="J266" s="309">
        <v>46600</v>
      </c>
      <c r="K266" s="346">
        <v>105000</v>
      </c>
      <c r="L266" s="26">
        <v>327400</v>
      </c>
      <c r="M266" s="381">
        <v>555764</v>
      </c>
      <c r="N266" s="416">
        <v>26500</v>
      </c>
      <c r="O266" s="26">
        <v>177400</v>
      </c>
      <c r="P266" s="26">
        <v>98600</v>
      </c>
      <c r="Q266" s="26">
        <v>261100</v>
      </c>
      <c r="R266" s="26">
        <v>54700</v>
      </c>
    </row>
    <row r="267" spans="1:18" x14ac:dyDescent="0.35">
      <c r="A267" s="121">
        <v>40330</v>
      </c>
      <c r="B267" s="202">
        <v>62700</v>
      </c>
      <c r="C267" s="235">
        <v>183000</v>
      </c>
      <c r="D267" s="26">
        <v>419100</v>
      </c>
      <c r="E267" s="1">
        <v>693804.8</v>
      </c>
      <c r="F267" s="26">
        <v>230000</v>
      </c>
      <c r="G267" s="2">
        <v>559700</v>
      </c>
      <c r="H267" s="26">
        <v>2368900</v>
      </c>
      <c r="I267" s="273">
        <v>60400</v>
      </c>
      <c r="J267" s="309">
        <v>38200</v>
      </c>
      <c r="K267" s="346">
        <v>93300</v>
      </c>
      <c r="L267" s="26">
        <v>358400</v>
      </c>
      <c r="M267" s="381">
        <v>453662</v>
      </c>
      <c r="N267" s="416">
        <v>16800</v>
      </c>
      <c r="O267" s="26">
        <v>208500</v>
      </c>
      <c r="P267" s="26">
        <v>105600</v>
      </c>
      <c r="Q267" s="26">
        <v>217200</v>
      </c>
      <c r="R267" s="26">
        <v>0</v>
      </c>
    </row>
    <row r="268" spans="1:18" x14ac:dyDescent="0.35">
      <c r="A268" s="121">
        <v>40360</v>
      </c>
      <c r="B268" s="202">
        <v>191900</v>
      </c>
      <c r="C268" s="235">
        <v>217800</v>
      </c>
      <c r="D268" s="26">
        <v>516200</v>
      </c>
      <c r="E268" s="1">
        <v>693669.6</v>
      </c>
      <c r="F268" s="26">
        <v>268000</v>
      </c>
      <c r="G268" s="2">
        <v>576600</v>
      </c>
      <c r="H268" s="26">
        <v>2413100</v>
      </c>
      <c r="I268" s="273">
        <v>124600</v>
      </c>
      <c r="J268" s="309">
        <v>44400</v>
      </c>
      <c r="K268" s="346">
        <v>99700</v>
      </c>
      <c r="L268" s="26">
        <v>344300</v>
      </c>
      <c r="M268" s="381">
        <v>793179.2</v>
      </c>
      <c r="N268" s="416">
        <v>26300</v>
      </c>
      <c r="O268" s="26">
        <v>173400</v>
      </c>
      <c r="P268" s="26">
        <v>113200</v>
      </c>
      <c r="Q268" s="26">
        <v>291600</v>
      </c>
      <c r="R268" s="26">
        <v>12300</v>
      </c>
    </row>
    <row r="269" spans="1:18" x14ac:dyDescent="0.35">
      <c r="A269" s="121">
        <v>40391</v>
      </c>
      <c r="B269" s="202">
        <v>152700</v>
      </c>
      <c r="C269" s="235">
        <v>225700</v>
      </c>
      <c r="D269" s="26">
        <v>462900</v>
      </c>
      <c r="E269" s="1">
        <v>759396.4</v>
      </c>
      <c r="F269" s="26">
        <v>194000</v>
      </c>
      <c r="G269" s="2">
        <v>995000</v>
      </c>
      <c r="H269" s="26">
        <v>3746500</v>
      </c>
      <c r="I269" s="273">
        <v>65800</v>
      </c>
      <c r="J269" s="309">
        <v>57400</v>
      </c>
      <c r="K269" s="346">
        <v>81000</v>
      </c>
      <c r="L269" s="26">
        <v>340900</v>
      </c>
      <c r="M269" s="381">
        <v>712993.6</v>
      </c>
      <c r="N269" s="416">
        <v>18700</v>
      </c>
      <c r="O269" s="26">
        <v>213800</v>
      </c>
      <c r="P269" s="26">
        <v>86200</v>
      </c>
      <c r="Q269" s="26">
        <v>322000</v>
      </c>
      <c r="R269" s="26">
        <v>248600</v>
      </c>
    </row>
    <row r="270" spans="1:18" x14ac:dyDescent="0.35">
      <c r="A270" s="121">
        <v>40422</v>
      </c>
      <c r="B270" s="202">
        <v>139500</v>
      </c>
      <c r="C270" s="235">
        <v>258600</v>
      </c>
      <c r="D270" s="26">
        <v>636300</v>
      </c>
      <c r="E270" s="1">
        <v>798238.4</v>
      </c>
      <c r="F270" s="26">
        <v>321000</v>
      </c>
      <c r="G270" s="2">
        <v>880700</v>
      </c>
      <c r="H270" s="26">
        <v>3399400</v>
      </c>
      <c r="I270" s="273">
        <v>21700</v>
      </c>
      <c r="J270" s="309">
        <v>15500</v>
      </c>
      <c r="K270" s="346">
        <v>34300</v>
      </c>
      <c r="L270" s="26">
        <v>438400</v>
      </c>
      <c r="M270" s="381">
        <v>659586.4</v>
      </c>
      <c r="N270" s="416">
        <v>56100</v>
      </c>
      <c r="O270" s="26">
        <v>230000</v>
      </c>
      <c r="P270" s="26">
        <v>49700</v>
      </c>
      <c r="Q270" s="26">
        <v>309800</v>
      </c>
      <c r="R270" s="26">
        <v>337200</v>
      </c>
    </row>
    <row r="271" spans="1:18" x14ac:dyDescent="0.35">
      <c r="A271" s="121">
        <v>40452</v>
      </c>
      <c r="B271" s="203">
        <v>79400</v>
      </c>
      <c r="C271" s="236">
        <v>113300</v>
      </c>
      <c r="D271" s="3">
        <v>185500</v>
      </c>
      <c r="E271" s="1">
        <v>299826</v>
      </c>
      <c r="F271" s="3">
        <v>72000</v>
      </c>
      <c r="G271" s="2">
        <v>204000</v>
      </c>
      <c r="H271" s="3">
        <v>1284400</v>
      </c>
      <c r="I271" s="274">
        <v>24000</v>
      </c>
      <c r="J271" s="310">
        <v>27500</v>
      </c>
      <c r="K271" s="347">
        <v>33600</v>
      </c>
      <c r="L271" s="3">
        <v>103700</v>
      </c>
      <c r="M271" s="382">
        <v>306530.40000000002</v>
      </c>
      <c r="N271" s="417">
        <v>7400</v>
      </c>
      <c r="O271" s="3">
        <v>0</v>
      </c>
      <c r="P271" s="3">
        <v>41100</v>
      </c>
      <c r="Q271" s="3">
        <v>163600</v>
      </c>
      <c r="R271" s="3">
        <v>104000</v>
      </c>
    </row>
    <row r="272" spans="1:18" x14ac:dyDescent="0.35">
      <c r="A272" s="121">
        <v>40483</v>
      </c>
      <c r="B272" s="203">
        <v>72400</v>
      </c>
      <c r="C272" s="236">
        <v>234000</v>
      </c>
      <c r="D272" s="3">
        <v>259600</v>
      </c>
      <c r="E272" s="1">
        <v>338223.19999999995</v>
      </c>
      <c r="F272" s="3">
        <v>126000</v>
      </c>
      <c r="G272" s="2">
        <v>487900</v>
      </c>
      <c r="H272" s="3">
        <v>1430600</v>
      </c>
      <c r="I272" s="274">
        <v>23800</v>
      </c>
      <c r="J272" s="310">
        <v>40000</v>
      </c>
      <c r="K272" s="347">
        <v>71900</v>
      </c>
      <c r="L272" s="3">
        <v>238300</v>
      </c>
      <c r="M272" s="382">
        <v>418206.8</v>
      </c>
      <c r="N272" s="417">
        <v>20900</v>
      </c>
      <c r="O272" s="3">
        <v>27000</v>
      </c>
      <c r="P272" s="3">
        <v>65800</v>
      </c>
      <c r="Q272" s="3">
        <v>334000</v>
      </c>
      <c r="R272" s="3">
        <v>158000</v>
      </c>
    </row>
    <row r="273" spans="1:18" x14ac:dyDescent="0.35">
      <c r="A273" s="121">
        <v>40513</v>
      </c>
      <c r="B273" s="203">
        <v>68200</v>
      </c>
      <c r="C273" s="236">
        <v>138700</v>
      </c>
      <c r="D273" s="3">
        <v>261800</v>
      </c>
      <c r="E273" s="1">
        <v>556040.40000000014</v>
      </c>
      <c r="F273" s="3">
        <v>65000</v>
      </c>
      <c r="G273" s="2">
        <v>262800</v>
      </c>
      <c r="H273" s="3">
        <v>848100</v>
      </c>
      <c r="I273" s="274">
        <v>31200</v>
      </c>
      <c r="J273" s="310">
        <v>25300</v>
      </c>
      <c r="K273" s="347">
        <v>45200</v>
      </c>
      <c r="L273" s="3">
        <v>187600</v>
      </c>
      <c r="M273" s="382">
        <v>285960.40000000002</v>
      </c>
      <c r="N273" s="417">
        <v>14600</v>
      </c>
      <c r="O273" s="3">
        <v>113700</v>
      </c>
      <c r="P273" s="3">
        <v>45700</v>
      </c>
      <c r="Q273" s="3">
        <v>224300</v>
      </c>
      <c r="R273" s="3">
        <v>135000</v>
      </c>
    </row>
    <row r="274" spans="1:18" x14ac:dyDescent="0.35">
      <c r="A274" s="121">
        <v>40544</v>
      </c>
      <c r="B274" s="203">
        <v>102700</v>
      </c>
      <c r="C274" s="236">
        <v>133300</v>
      </c>
      <c r="D274" s="3">
        <v>151400</v>
      </c>
      <c r="E274" s="1">
        <v>227701.6</v>
      </c>
      <c r="F274" s="3">
        <v>20000</v>
      </c>
      <c r="G274" s="2">
        <v>509800</v>
      </c>
      <c r="H274" s="3">
        <v>633200</v>
      </c>
      <c r="I274" s="274">
        <v>21800</v>
      </c>
      <c r="J274" s="310">
        <v>22000</v>
      </c>
      <c r="K274" s="347">
        <v>41300</v>
      </c>
      <c r="L274" s="3">
        <v>132200</v>
      </c>
      <c r="M274" s="382">
        <v>174658.00000000003</v>
      </c>
      <c r="N274" s="417">
        <v>15600</v>
      </c>
      <c r="O274" s="3">
        <v>110200</v>
      </c>
      <c r="P274" s="3">
        <v>19700</v>
      </c>
      <c r="Q274" s="3">
        <v>215100</v>
      </c>
      <c r="R274" s="3">
        <v>134800</v>
      </c>
    </row>
    <row r="275" spans="1:18" x14ac:dyDescent="0.35">
      <c r="A275" s="121">
        <v>40575</v>
      </c>
      <c r="B275" s="203">
        <v>37500</v>
      </c>
      <c r="C275" s="236">
        <v>207300</v>
      </c>
      <c r="D275" s="3">
        <v>183300</v>
      </c>
      <c r="E275" s="1">
        <v>326024.40000000002</v>
      </c>
      <c r="F275" s="3">
        <v>71000</v>
      </c>
      <c r="G275" s="2">
        <v>393100</v>
      </c>
      <c r="H275" s="3">
        <v>871600</v>
      </c>
      <c r="I275" s="274">
        <v>30900</v>
      </c>
      <c r="J275" s="310">
        <v>21800</v>
      </c>
      <c r="K275" s="347">
        <v>42400</v>
      </c>
      <c r="L275" s="3">
        <v>157400</v>
      </c>
      <c r="M275" s="382">
        <v>199491.6</v>
      </c>
      <c r="N275" s="417">
        <v>21700</v>
      </c>
      <c r="O275" s="3">
        <v>150400</v>
      </c>
      <c r="P275" s="3">
        <v>47300</v>
      </c>
      <c r="Q275" s="3">
        <v>232300</v>
      </c>
      <c r="R275" s="3">
        <v>130300</v>
      </c>
    </row>
    <row r="276" spans="1:18" x14ac:dyDescent="0.35">
      <c r="A276" s="121">
        <v>40603</v>
      </c>
      <c r="B276" s="203">
        <v>8600</v>
      </c>
      <c r="C276" s="236">
        <v>104300</v>
      </c>
      <c r="D276" s="3">
        <v>201500</v>
      </c>
      <c r="E276" s="1">
        <v>273511.8</v>
      </c>
      <c r="F276" s="3">
        <v>61000</v>
      </c>
      <c r="G276" s="2">
        <v>275300</v>
      </c>
      <c r="H276" s="3">
        <v>633400</v>
      </c>
      <c r="I276" s="274">
        <v>17900</v>
      </c>
      <c r="J276" s="310">
        <v>18600</v>
      </c>
      <c r="K276" s="347">
        <v>30700</v>
      </c>
      <c r="L276" s="3">
        <v>127900</v>
      </c>
      <c r="M276" s="382">
        <v>231580.79999999999</v>
      </c>
      <c r="N276" s="417">
        <v>11400</v>
      </c>
      <c r="O276" s="3">
        <v>87200</v>
      </c>
      <c r="P276" s="3">
        <v>45800</v>
      </c>
      <c r="Q276" s="3">
        <v>177600</v>
      </c>
      <c r="R276" s="3">
        <v>45800</v>
      </c>
    </row>
    <row r="277" spans="1:18" x14ac:dyDescent="0.35">
      <c r="A277" s="121">
        <v>40634</v>
      </c>
      <c r="B277" s="183">
        <v>77900</v>
      </c>
      <c r="C277" s="216">
        <v>243600</v>
      </c>
      <c r="D277" s="3">
        <v>360900</v>
      </c>
      <c r="E277" s="1">
        <v>555518.4</v>
      </c>
      <c r="F277" s="3">
        <v>92000</v>
      </c>
      <c r="G277" s="2">
        <v>610700</v>
      </c>
      <c r="H277" s="3">
        <v>1517500</v>
      </c>
      <c r="I277" s="249">
        <v>37900</v>
      </c>
      <c r="J277" s="285">
        <v>42300</v>
      </c>
      <c r="K277" s="323">
        <v>71900</v>
      </c>
      <c r="L277" s="3">
        <v>261500</v>
      </c>
      <c r="M277" s="360">
        <v>468547.20000000007</v>
      </c>
      <c r="N277" s="395">
        <v>25500</v>
      </c>
      <c r="O277" s="3">
        <v>185000</v>
      </c>
      <c r="P277" s="3">
        <v>85100</v>
      </c>
      <c r="Q277" s="3">
        <v>357700</v>
      </c>
      <c r="R277" s="3">
        <v>600</v>
      </c>
    </row>
    <row r="278" spans="1:18" x14ac:dyDescent="0.35">
      <c r="A278" s="121">
        <v>40664</v>
      </c>
      <c r="B278" s="183">
        <v>70500</v>
      </c>
      <c r="C278" s="216">
        <v>142000</v>
      </c>
      <c r="D278" s="3">
        <v>432700</v>
      </c>
      <c r="E278" s="1">
        <v>754403.6</v>
      </c>
      <c r="F278" s="3">
        <v>178000</v>
      </c>
      <c r="G278" s="2">
        <v>781500</v>
      </c>
      <c r="H278" s="3">
        <v>2386800</v>
      </c>
      <c r="I278" s="249">
        <v>66600</v>
      </c>
      <c r="J278" s="285">
        <v>42000</v>
      </c>
      <c r="K278" s="323">
        <v>66900</v>
      </c>
      <c r="L278" s="3">
        <v>268000</v>
      </c>
      <c r="M278" s="360">
        <v>659810.79999999993</v>
      </c>
      <c r="N278" s="395">
        <v>23000</v>
      </c>
      <c r="O278" s="3">
        <v>238400</v>
      </c>
      <c r="P278" s="3">
        <v>57300</v>
      </c>
      <c r="Q278" s="3">
        <v>337900</v>
      </c>
      <c r="R278" s="3">
        <v>94800</v>
      </c>
    </row>
    <row r="279" spans="1:18" x14ac:dyDescent="0.35">
      <c r="A279" s="121">
        <v>40695</v>
      </c>
      <c r="B279" s="183">
        <v>143500</v>
      </c>
      <c r="C279" s="216">
        <v>173300</v>
      </c>
      <c r="D279" s="3">
        <v>448800</v>
      </c>
      <c r="E279" s="1">
        <v>958445.60000000009</v>
      </c>
      <c r="F279" s="3">
        <v>195000</v>
      </c>
      <c r="G279" s="2">
        <v>887900</v>
      </c>
      <c r="H279" s="3">
        <v>2641400</v>
      </c>
      <c r="I279" s="249">
        <v>49200</v>
      </c>
      <c r="J279" s="285">
        <v>47400</v>
      </c>
      <c r="K279" s="323">
        <v>110600</v>
      </c>
      <c r="L279" s="3">
        <v>340500</v>
      </c>
      <c r="M279" s="360">
        <v>609694.80000000005</v>
      </c>
      <c r="N279" s="395">
        <v>15900</v>
      </c>
      <c r="O279" s="3">
        <v>177500</v>
      </c>
      <c r="P279" s="3">
        <v>114800</v>
      </c>
      <c r="Q279" s="3">
        <v>323200</v>
      </c>
      <c r="R279" s="3">
        <v>133400</v>
      </c>
    </row>
    <row r="280" spans="1:18" x14ac:dyDescent="0.35">
      <c r="A280" s="121">
        <v>40725</v>
      </c>
      <c r="B280" s="183">
        <v>126600</v>
      </c>
      <c r="C280" s="216">
        <v>184400</v>
      </c>
      <c r="D280" s="3">
        <v>448200</v>
      </c>
      <c r="E280" s="1">
        <v>756409.20000000007</v>
      </c>
      <c r="F280" s="3">
        <v>184000</v>
      </c>
      <c r="G280" s="2">
        <v>985600</v>
      </c>
      <c r="H280" s="3">
        <v>3349700</v>
      </c>
      <c r="I280" s="249">
        <v>41500</v>
      </c>
      <c r="J280" s="285">
        <v>56800</v>
      </c>
      <c r="K280" s="323">
        <v>106500</v>
      </c>
      <c r="L280" s="3">
        <v>393900</v>
      </c>
      <c r="M280" s="360">
        <v>744409.60000000009</v>
      </c>
      <c r="N280" s="395">
        <v>22400</v>
      </c>
      <c r="O280" s="3">
        <v>162600</v>
      </c>
      <c r="P280" s="3">
        <v>83800</v>
      </c>
      <c r="Q280" s="3">
        <v>308400</v>
      </c>
      <c r="R280" s="3">
        <v>145400</v>
      </c>
    </row>
    <row r="281" spans="1:18" x14ac:dyDescent="0.35">
      <c r="A281" s="121">
        <v>40756</v>
      </c>
      <c r="B281" s="183">
        <v>144700</v>
      </c>
      <c r="C281" s="216">
        <v>178100</v>
      </c>
      <c r="D281" s="3">
        <v>435500</v>
      </c>
      <c r="E281" s="1">
        <v>875288.4</v>
      </c>
      <c r="F281" s="3">
        <v>191000</v>
      </c>
      <c r="G281" s="2">
        <v>915200</v>
      </c>
      <c r="H281" s="3">
        <v>2694300</v>
      </c>
      <c r="I281" s="249">
        <v>38900</v>
      </c>
      <c r="J281" s="285">
        <v>59900</v>
      </c>
      <c r="K281" s="323">
        <v>108900</v>
      </c>
      <c r="L281" s="3">
        <v>383400</v>
      </c>
      <c r="M281" s="360">
        <v>683896.40000000014</v>
      </c>
      <c r="N281" s="395">
        <v>16500</v>
      </c>
      <c r="O281" s="3">
        <v>170900</v>
      </c>
      <c r="P281" s="3">
        <v>62900</v>
      </c>
      <c r="Q281" s="3">
        <v>282200</v>
      </c>
      <c r="R281" s="3">
        <v>94200</v>
      </c>
    </row>
    <row r="282" spans="1:18" x14ac:dyDescent="0.35">
      <c r="A282" s="121">
        <v>40787</v>
      </c>
      <c r="B282" s="183">
        <v>146100</v>
      </c>
      <c r="C282" s="216">
        <v>264200</v>
      </c>
      <c r="D282" s="3">
        <v>681200</v>
      </c>
      <c r="E282" s="1">
        <v>880924.60000000009</v>
      </c>
      <c r="F282" s="3">
        <v>181000</v>
      </c>
      <c r="G282" s="2">
        <v>1300400</v>
      </c>
      <c r="H282" s="3">
        <v>3219200</v>
      </c>
      <c r="I282" s="249">
        <v>88800</v>
      </c>
      <c r="J282" s="285">
        <v>86800</v>
      </c>
      <c r="K282" s="323">
        <v>107100</v>
      </c>
      <c r="L282" s="3">
        <v>488200</v>
      </c>
      <c r="M282" s="360">
        <v>812103.60000000009</v>
      </c>
      <c r="N282" s="395">
        <v>28000</v>
      </c>
      <c r="O282" s="3">
        <v>218900</v>
      </c>
      <c r="P282" s="3">
        <v>73600</v>
      </c>
      <c r="Q282" s="3">
        <v>377800</v>
      </c>
      <c r="R282" s="3">
        <v>181000</v>
      </c>
    </row>
    <row r="283" spans="1:18" x14ac:dyDescent="0.35">
      <c r="A283" s="121">
        <v>40817</v>
      </c>
      <c r="B283" s="204">
        <v>25500</v>
      </c>
      <c r="C283" s="237">
        <v>137700</v>
      </c>
      <c r="D283" s="6">
        <v>326800</v>
      </c>
      <c r="E283" s="1">
        <v>416524.4</v>
      </c>
      <c r="F283" s="6">
        <v>105000</v>
      </c>
      <c r="G283" s="2">
        <v>375400</v>
      </c>
      <c r="H283" s="6">
        <v>1135800</v>
      </c>
      <c r="I283" s="275">
        <v>60900</v>
      </c>
      <c r="J283" s="311">
        <v>35800</v>
      </c>
      <c r="K283" s="348">
        <v>42400</v>
      </c>
      <c r="L283" s="6">
        <v>157200</v>
      </c>
      <c r="M283" s="383">
        <v>276535.59999999998</v>
      </c>
      <c r="N283" s="418">
        <v>13500</v>
      </c>
      <c r="O283" s="6">
        <v>100700</v>
      </c>
      <c r="P283" s="6">
        <v>55700</v>
      </c>
      <c r="Q283" s="6">
        <v>184100</v>
      </c>
      <c r="R283" s="6">
        <v>107200</v>
      </c>
    </row>
    <row r="284" spans="1:18" x14ac:dyDescent="0.35">
      <c r="A284" s="121">
        <v>40848</v>
      </c>
      <c r="B284" s="204">
        <v>13800</v>
      </c>
      <c r="C284" s="237">
        <v>82400</v>
      </c>
      <c r="D284" s="6">
        <v>167000</v>
      </c>
      <c r="E284" s="1">
        <v>261993.59999999998</v>
      </c>
      <c r="F284" s="6">
        <v>67000</v>
      </c>
      <c r="G284" s="2">
        <v>280200</v>
      </c>
      <c r="H284" s="6">
        <v>855300</v>
      </c>
      <c r="I284" s="275">
        <v>34400</v>
      </c>
      <c r="J284" s="311">
        <v>20900</v>
      </c>
      <c r="K284" s="348">
        <v>33700</v>
      </c>
      <c r="L284" s="6">
        <v>147300</v>
      </c>
      <c r="M284" s="383">
        <v>131648</v>
      </c>
      <c r="N284" s="418">
        <v>9900</v>
      </c>
      <c r="O284" s="6">
        <v>54400</v>
      </c>
      <c r="P284" s="6">
        <v>25800</v>
      </c>
      <c r="Q284" s="6">
        <v>108600</v>
      </c>
      <c r="R284" s="6">
        <v>87000</v>
      </c>
    </row>
    <row r="285" spans="1:18" x14ac:dyDescent="0.35">
      <c r="A285" s="121">
        <v>40878</v>
      </c>
      <c r="B285" s="204">
        <v>44100</v>
      </c>
      <c r="C285" s="237">
        <v>105800</v>
      </c>
      <c r="D285" s="6">
        <v>261500</v>
      </c>
      <c r="E285" s="1">
        <v>639398</v>
      </c>
      <c r="F285" s="6">
        <v>66000</v>
      </c>
      <c r="G285" s="2">
        <v>364200</v>
      </c>
      <c r="H285" s="6">
        <v>1220800</v>
      </c>
      <c r="I285" s="275">
        <v>37800</v>
      </c>
      <c r="J285" s="311">
        <v>39000</v>
      </c>
      <c r="K285" s="348">
        <v>32600</v>
      </c>
      <c r="L285" s="6">
        <v>232600</v>
      </c>
      <c r="M285" s="383">
        <v>109282.8</v>
      </c>
      <c r="N285" s="418">
        <v>19700</v>
      </c>
      <c r="O285" s="6">
        <v>77600</v>
      </c>
      <c r="P285" s="6">
        <v>52400</v>
      </c>
      <c r="Q285" s="6">
        <v>150500</v>
      </c>
      <c r="R285" s="6">
        <v>121500</v>
      </c>
    </row>
    <row r="286" spans="1:18" x14ac:dyDescent="0.35">
      <c r="A286" s="121">
        <v>40909</v>
      </c>
      <c r="B286" s="204">
        <v>95900</v>
      </c>
      <c r="C286" s="237">
        <v>141300</v>
      </c>
      <c r="D286" s="6">
        <v>351000</v>
      </c>
      <c r="E286" s="1">
        <v>445250</v>
      </c>
      <c r="F286" s="6">
        <v>183000</v>
      </c>
      <c r="G286" s="2">
        <v>423500</v>
      </c>
      <c r="H286" s="6">
        <v>1018200</v>
      </c>
      <c r="I286" s="275">
        <v>74700</v>
      </c>
      <c r="J286" s="311">
        <v>41400</v>
      </c>
      <c r="K286" s="348">
        <v>47400</v>
      </c>
      <c r="L286" s="6">
        <v>284300</v>
      </c>
      <c r="M286" s="383">
        <v>233974.39999999999</v>
      </c>
      <c r="N286" s="418">
        <v>19100</v>
      </c>
      <c r="O286" s="6">
        <v>394200</v>
      </c>
      <c r="P286" s="6">
        <v>61500</v>
      </c>
      <c r="Q286" s="6">
        <v>240900</v>
      </c>
      <c r="R286" s="6">
        <v>173300</v>
      </c>
    </row>
    <row r="287" spans="1:18" x14ac:dyDescent="0.35">
      <c r="A287" s="121">
        <v>40940</v>
      </c>
      <c r="B287" s="204">
        <v>20000</v>
      </c>
      <c r="C287" s="237">
        <v>112900</v>
      </c>
      <c r="D287" s="6">
        <v>275300</v>
      </c>
      <c r="E287" s="1">
        <v>256826.8</v>
      </c>
      <c r="F287" s="6">
        <v>121000</v>
      </c>
      <c r="G287" s="2">
        <v>286300</v>
      </c>
      <c r="H287" s="6">
        <v>769300</v>
      </c>
      <c r="I287" s="275">
        <v>43300</v>
      </c>
      <c r="J287" s="311">
        <v>35500</v>
      </c>
      <c r="K287" s="348">
        <v>43300</v>
      </c>
      <c r="L287" s="6">
        <v>114800</v>
      </c>
      <c r="M287" s="383">
        <v>265540</v>
      </c>
      <c r="N287" s="418">
        <v>13800</v>
      </c>
      <c r="O287" s="6">
        <v>89300</v>
      </c>
      <c r="P287" s="6">
        <v>30000</v>
      </c>
      <c r="Q287" s="6">
        <v>204800</v>
      </c>
      <c r="R287" s="6">
        <v>103400</v>
      </c>
    </row>
    <row r="288" spans="1:18" x14ac:dyDescent="0.35">
      <c r="A288" s="121">
        <v>40969</v>
      </c>
      <c r="B288" s="205">
        <v>49000</v>
      </c>
      <c r="C288" s="238">
        <v>193900</v>
      </c>
      <c r="D288" s="25">
        <v>471800</v>
      </c>
      <c r="E288" s="1">
        <v>533081.19999999995</v>
      </c>
      <c r="F288" s="25">
        <v>143000</v>
      </c>
      <c r="G288" s="2">
        <v>762800</v>
      </c>
      <c r="H288" s="25">
        <v>2096900</v>
      </c>
      <c r="I288" s="275">
        <v>52900</v>
      </c>
      <c r="J288" s="311">
        <v>57100</v>
      </c>
      <c r="K288" s="348">
        <v>102900</v>
      </c>
      <c r="L288" s="25">
        <v>419900</v>
      </c>
      <c r="M288" s="384">
        <v>386042.8</v>
      </c>
      <c r="N288" s="419">
        <v>43500</v>
      </c>
      <c r="O288" s="25">
        <v>175000</v>
      </c>
      <c r="P288" s="25">
        <v>59300</v>
      </c>
      <c r="Q288" s="25">
        <v>411500</v>
      </c>
      <c r="R288" s="25">
        <v>189100</v>
      </c>
    </row>
    <row r="289" spans="1:18" x14ac:dyDescent="0.35">
      <c r="A289" s="121">
        <v>41000</v>
      </c>
      <c r="B289" s="204">
        <v>52500</v>
      </c>
      <c r="C289" s="237">
        <v>198900</v>
      </c>
      <c r="D289" s="6">
        <v>393500</v>
      </c>
      <c r="E289" s="1">
        <v>346098</v>
      </c>
      <c r="F289" s="6">
        <v>140000</v>
      </c>
      <c r="G289" s="2">
        <v>668100</v>
      </c>
      <c r="H289" s="6">
        <v>1347100</v>
      </c>
      <c r="I289" s="275">
        <v>47300</v>
      </c>
      <c r="J289" s="311">
        <v>55500</v>
      </c>
      <c r="K289" s="348">
        <v>68000</v>
      </c>
      <c r="L289" s="6">
        <v>387300</v>
      </c>
      <c r="M289" s="383">
        <v>154387.20000000001</v>
      </c>
      <c r="N289" s="418">
        <v>37300</v>
      </c>
      <c r="O289" s="6">
        <v>113100</v>
      </c>
      <c r="P289" s="6">
        <v>38000</v>
      </c>
      <c r="Q289" s="6">
        <v>397400</v>
      </c>
      <c r="R289" s="6">
        <v>170700</v>
      </c>
    </row>
    <row r="290" spans="1:18" x14ac:dyDescent="0.35">
      <c r="A290" s="121">
        <v>41030</v>
      </c>
      <c r="B290" s="204">
        <v>86400</v>
      </c>
      <c r="C290" s="237">
        <v>302300</v>
      </c>
      <c r="D290" s="6">
        <v>561700</v>
      </c>
      <c r="E290" s="1">
        <v>1069187.2</v>
      </c>
      <c r="F290" s="6">
        <v>256000</v>
      </c>
      <c r="G290" s="2">
        <v>1178000</v>
      </c>
      <c r="H290" s="6">
        <v>3303000</v>
      </c>
      <c r="I290" s="275">
        <v>79700</v>
      </c>
      <c r="J290" s="311">
        <v>102500</v>
      </c>
      <c r="K290" s="348">
        <v>105400</v>
      </c>
      <c r="L290" s="6">
        <v>558300</v>
      </c>
      <c r="M290" s="383">
        <v>580747.19999999995</v>
      </c>
      <c r="N290" s="418">
        <v>51000</v>
      </c>
      <c r="O290" s="6">
        <v>240300</v>
      </c>
      <c r="P290" s="6">
        <v>291900</v>
      </c>
      <c r="Q290" s="6">
        <v>608700</v>
      </c>
      <c r="R290" s="6">
        <v>256100</v>
      </c>
    </row>
    <row r="291" spans="1:18" x14ac:dyDescent="0.35">
      <c r="A291" s="121">
        <v>41061</v>
      </c>
      <c r="B291" s="204">
        <v>69300</v>
      </c>
      <c r="C291" s="237">
        <v>258800</v>
      </c>
      <c r="D291" s="6">
        <v>353200</v>
      </c>
      <c r="E291" s="1">
        <v>256679.2</v>
      </c>
      <c r="F291" s="6">
        <v>272000</v>
      </c>
      <c r="G291" s="2">
        <v>1179100</v>
      </c>
      <c r="H291" s="6">
        <v>2576900</v>
      </c>
      <c r="I291" s="275">
        <v>63400</v>
      </c>
      <c r="J291" s="311">
        <v>58900</v>
      </c>
      <c r="K291" s="348">
        <v>106000</v>
      </c>
      <c r="L291" s="6">
        <v>511400</v>
      </c>
      <c r="M291" s="383">
        <v>483956</v>
      </c>
      <c r="N291" s="418">
        <v>30100</v>
      </c>
      <c r="O291" s="6">
        <v>222900</v>
      </c>
      <c r="P291" s="6">
        <v>76800</v>
      </c>
      <c r="Q291" s="6">
        <v>411500</v>
      </c>
      <c r="R291" s="6">
        <v>241900</v>
      </c>
    </row>
    <row r="292" spans="1:18" x14ac:dyDescent="0.35">
      <c r="A292" s="121">
        <v>41091</v>
      </c>
      <c r="B292" s="204">
        <v>151000</v>
      </c>
      <c r="C292" s="237">
        <v>277300</v>
      </c>
      <c r="D292" s="6">
        <v>816500</v>
      </c>
      <c r="E292" s="1">
        <v>739658</v>
      </c>
      <c r="F292" s="6">
        <v>212000</v>
      </c>
      <c r="G292" s="2">
        <v>1149200</v>
      </c>
      <c r="H292" s="6">
        <v>3742600</v>
      </c>
      <c r="I292" s="275">
        <v>111300</v>
      </c>
      <c r="J292" s="311">
        <v>69800</v>
      </c>
      <c r="K292" s="348">
        <v>143600</v>
      </c>
      <c r="L292" s="6">
        <v>517400</v>
      </c>
      <c r="M292" s="383">
        <v>898422.8</v>
      </c>
      <c r="N292" s="418">
        <v>64600</v>
      </c>
      <c r="O292" s="6">
        <v>317600</v>
      </c>
      <c r="P292" s="6">
        <v>85500</v>
      </c>
      <c r="Q292" s="6">
        <v>452300</v>
      </c>
      <c r="R292" s="6">
        <v>353200</v>
      </c>
    </row>
    <row r="293" spans="1:18" x14ac:dyDescent="0.35">
      <c r="A293" s="121">
        <v>41122</v>
      </c>
      <c r="B293" s="204">
        <v>110600</v>
      </c>
      <c r="C293" s="237">
        <v>273800</v>
      </c>
      <c r="D293" s="6">
        <v>574300</v>
      </c>
      <c r="E293" s="1">
        <v>861968.4</v>
      </c>
      <c r="F293" s="6">
        <v>272000</v>
      </c>
      <c r="G293" s="2">
        <v>1002300</v>
      </c>
      <c r="H293" s="6">
        <v>3055200</v>
      </c>
      <c r="I293" s="275">
        <v>86800</v>
      </c>
      <c r="J293" s="311">
        <v>124500</v>
      </c>
      <c r="K293" s="348">
        <v>70500</v>
      </c>
      <c r="L293" s="6">
        <v>375100</v>
      </c>
      <c r="M293" s="383">
        <v>502506.4</v>
      </c>
      <c r="N293" s="418">
        <v>47500</v>
      </c>
      <c r="O293" s="6">
        <v>185400</v>
      </c>
      <c r="P293" s="6">
        <v>46700</v>
      </c>
      <c r="Q293" s="6">
        <v>297600</v>
      </c>
      <c r="R293" s="6">
        <v>158600</v>
      </c>
    </row>
    <row r="294" spans="1:18" x14ac:dyDescent="0.35">
      <c r="A294" s="121">
        <v>41153</v>
      </c>
      <c r="B294" s="205">
        <v>95600</v>
      </c>
      <c r="C294" s="238">
        <v>316300</v>
      </c>
      <c r="D294" s="25">
        <v>582200</v>
      </c>
      <c r="E294" s="1">
        <v>569200.4</v>
      </c>
      <c r="F294" s="25">
        <v>287000</v>
      </c>
      <c r="G294" s="2">
        <v>975400</v>
      </c>
      <c r="H294" s="25">
        <v>2381900</v>
      </c>
      <c r="I294" s="275">
        <v>84900</v>
      </c>
      <c r="J294" s="311">
        <v>82200</v>
      </c>
      <c r="K294" s="348">
        <v>99100</v>
      </c>
      <c r="L294" s="25">
        <v>400900</v>
      </c>
      <c r="M294" s="384">
        <v>554791.6</v>
      </c>
      <c r="N294" s="419">
        <v>43700</v>
      </c>
      <c r="O294" s="25">
        <v>181300</v>
      </c>
      <c r="P294" s="25">
        <v>37300</v>
      </c>
      <c r="Q294" s="25">
        <v>390700</v>
      </c>
      <c r="R294" s="25">
        <v>244700</v>
      </c>
    </row>
    <row r="295" spans="1:18" x14ac:dyDescent="0.35">
      <c r="A295" s="121">
        <v>41183</v>
      </c>
      <c r="B295" s="203">
        <v>96700</v>
      </c>
      <c r="C295" s="236">
        <v>245400</v>
      </c>
      <c r="D295" s="3">
        <v>449500</v>
      </c>
      <c r="E295" s="1">
        <v>455143.20000000007</v>
      </c>
      <c r="F295" s="3">
        <v>138000</v>
      </c>
      <c r="G295" s="2">
        <v>773600</v>
      </c>
      <c r="H295" s="3">
        <v>2190000</v>
      </c>
      <c r="I295" s="274">
        <v>79800</v>
      </c>
      <c r="J295" s="310">
        <v>82200</v>
      </c>
      <c r="K295" s="347">
        <v>132000</v>
      </c>
      <c r="L295" s="3">
        <v>369100</v>
      </c>
      <c r="M295" s="382">
        <v>527714</v>
      </c>
      <c r="N295" s="417">
        <v>14900</v>
      </c>
      <c r="O295" s="3">
        <v>241400</v>
      </c>
      <c r="P295" s="3">
        <v>51600</v>
      </c>
      <c r="Q295" s="3">
        <v>455000</v>
      </c>
      <c r="R295" s="3">
        <v>139100</v>
      </c>
    </row>
    <row r="296" spans="1:18" x14ac:dyDescent="0.35">
      <c r="A296" s="121">
        <v>41214</v>
      </c>
      <c r="B296" s="203">
        <v>92900</v>
      </c>
      <c r="C296" s="236">
        <v>259900</v>
      </c>
      <c r="D296" s="3">
        <v>302500</v>
      </c>
      <c r="E296" s="1">
        <v>569352.40000000014</v>
      </c>
      <c r="F296" s="3">
        <v>269000</v>
      </c>
      <c r="G296" s="2">
        <v>968500</v>
      </c>
      <c r="H296" s="3">
        <v>2258200</v>
      </c>
      <c r="I296" s="274">
        <v>46400</v>
      </c>
      <c r="J296" s="310">
        <v>40500</v>
      </c>
      <c r="K296" s="347">
        <v>62700</v>
      </c>
      <c r="L296" s="3">
        <v>19800</v>
      </c>
      <c r="M296" s="382">
        <v>371681.19999999995</v>
      </c>
      <c r="N296" s="417">
        <v>34400</v>
      </c>
      <c r="O296" s="3">
        <v>179300</v>
      </c>
      <c r="P296" s="3">
        <v>36400</v>
      </c>
      <c r="Q296" s="3">
        <v>385000</v>
      </c>
      <c r="R296" s="3">
        <v>150700</v>
      </c>
    </row>
    <row r="297" spans="1:18" x14ac:dyDescent="0.35">
      <c r="A297" s="121">
        <v>41244</v>
      </c>
      <c r="B297" s="203">
        <v>1300</v>
      </c>
      <c r="C297" s="236">
        <v>12500</v>
      </c>
      <c r="D297" s="3">
        <v>4700</v>
      </c>
      <c r="E297" s="1">
        <v>35537.600000000006</v>
      </c>
      <c r="F297" s="3">
        <v>2000</v>
      </c>
      <c r="G297" s="2">
        <v>163000</v>
      </c>
      <c r="H297" s="3">
        <v>113900</v>
      </c>
      <c r="I297" s="274">
        <v>0</v>
      </c>
      <c r="J297" s="310">
        <v>0</v>
      </c>
      <c r="K297" s="347">
        <v>600</v>
      </c>
      <c r="L297" s="3">
        <v>400</v>
      </c>
      <c r="M297" s="382">
        <v>55726</v>
      </c>
      <c r="N297" s="417">
        <v>0</v>
      </c>
      <c r="O297" s="3">
        <v>0</v>
      </c>
      <c r="P297" s="3">
        <v>0</v>
      </c>
      <c r="Q297" s="3">
        <v>12000</v>
      </c>
      <c r="R297" s="3">
        <v>200</v>
      </c>
    </row>
    <row r="298" spans="1:18" x14ac:dyDescent="0.35">
      <c r="A298" s="121">
        <v>41275</v>
      </c>
      <c r="B298" s="203">
        <v>107900</v>
      </c>
      <c r="C298" s="236">
        <v>144800</v>
      </c>
      <c r="D298" s="3">
        <v>256000</v>
      </c>
      <c r="E298" s="1">
        <v>253872.8</v>
      </c>
      <c r="F298" s="3">
        <v>96000</v>
      </c>
      <c r="G298" s="2">
        <v>959900</v>
      </c>
      <c r="H298" s="3">
        <v>1702600</v>
      </c>
      <c r="I298" s="274">
        <v>50400</v>
      </c>
      <c r="J298" s="310">
        <v>39300</v>
      </c>
      <c r="K298" s="347">
        <v>73700</v>
      </c>
      <c r="L298" s="3">
        <v>1500</v>
      </c>
      <c r="M298" s="382">
        <v>320218.80000000005</v>
      </c>
      <c r="N298" s="417">
        <v>45200</v>
      </c>
      <c r="O298" s="3">
        <v>227300</v>
      </c>
      <c r="P298" s="3">
        <v>36500</v>
      </c>
      <c r="Q298" s="3">
        <v>358800</v>
      </c>
      <c r="R298" s="3">
        <v>190300</v>
      </c>
    </row>
    <row r="299" spans="1:18" x14ac:dyDescent="0.35">
      <c r="A299" s="121">
        <v>41306</v>
      </c>
      <c r="B299" s="203">
        <v>72400</v>
      </c>
      <c r="C299" s="236">
        <v>11100</v>
      </c>
      <c r="D299" s="3">
        <v>302400</v>
      </c>
      <c r="E299" s="1">
        <v>318546.40000000002</v>
      </c>
      <c r="F299" s="3">
        <v>124000</v>
      </c>
      <c r="G299" s="2">
        <v>524600</v>
      </c>
      <c r="H299" s="3">
        <v>1508500</v>
      </c>
      <c r="I299" s="274">
        <v>17900</v>
      </c>
      <c r="J299" s="310">
        <v>50400</v>
      </c>
      <c r="K299" s="347">
        <v>88100</v>
      </c>
      <c r="L299" s="3">
        <v>2800</v>
      </c>
      <c r="M299" s="382">
        <v>250729.60000000001</v>
      </c>
      <c r="N299" s="417">
        <v>30100</v>
      </c>
      <c r="O299" s="3">
        <v>162200</v>
      </c>
      <c r="P299" s="3">
        <v>26800</v>
      </c>
      <c r="Q299" s="3">
        <v>367800</v>
      </c>
      <c r="R299" s="3">
        <v>102400</v>
      </c>
    </row>
    <row r="300" spans="1:18" x14ac:dyDescent="0.35">
      <c r="A300" s="121">
        <v>41334</v>
      </c>
      <c r="B300" s="203">
        <v>73000</v>
      </c>
      <c r="C300" s="236">
        <v>2400</v>
      </c>
      <c r="D300" s="3">
        <v>358500</v>
      </c>
      <c r="E300" s="1">
        <v>542706.4</v>
      </c>
      <c r="F300" s="3">
        <v>153000</v>
      </c>
      <c r="G300" s="2">
        <v>721900</v>
      </c>
      <c r="H300" s="3">
        <v>1702700</v>
      </c>
      <c r="I300" s="274">
        <v>32100</v>
      </c>
      <c r="J300" s="310">
        <v>48000</v>
      </c>
      <c r="K300" s="347">
        <v>81100</v>
      </c>
      <c r="L300" s="3">
        <v>6400</v>
      </c>
      <c r="M300" s="382">
        <v>335029.2</v>
      </c>
      <c r="N300" s="417">
        <v>32300</v>
      </c>
      <c r="O300" s="3">
        <v>186300</v>
      </c>
      <c r="P300" s="3">
        <v>33100</v>
      </c>
      <c r="Q300" s="3">
        <v>386000</v>
      </c>
      <c r="R300" s="3">
        <v>244800</v>
      </c>
    </row>
    <row r="301" spans="1:18" x14ac:dyDescent="0.35">
      <c r="A301" s="121">
        <v>41365</v>
      </c>
      <c r="B301" s="203">
        <v>46400</v>
      </c>
      <c r="C301" s="236">
        <v>105500</v>
      </c>
      <c r="D301" s="3">
        <v>226300</v>
      </c>
      <c r="E301" s="1">
        <v>356786.00000000006</v>
      </c>
      <c r="F301" s="3">
        <v>123000</v>
      </c>
      <c r="G301" s="2">
        <v>506000</v>
      </c>
      <c r="H301" s="3">
        <v>1563000</v>
      </c>
      <c r="I301" s="274">
        <v>31100</v>
      </c>
      <c r="J301" s="310">
        <v>42200</v>
      </c>
      <c r="K301" s="347">
        <v>68800</v>
      </c>
      <c r="L301" s="3">
        <v>1600</v>
      </c>
      <c r="M301" s="382">
        <v>217368.80000000002</v>
      </c>
      <c r="N301" s="417">
        <v>17300</v>
      </c>
      <c r="O301" s="3">
        <v>109500</v>
      </c>
      <c r="P301" s="3">
        <v>21200</v>
      </c>
      <c r="Q301" s="3">
        <v>238800</v>
      </c>
      <c r="R301" s="3">
        <v>161900</v>
      </c>
    </row>
    <row r="302" spans="1:18" x14ac:dyDescent="0.35">
      <c r="A302" s="121">
        <v>41395</v>
      </c>
      <c r="B302" s="183">
        <v>116000</v>
      </c>
      <c r="C302" s="216">
        <v>284000</v>
      </c>
      <c r="D302" s="3">
        <v>590600</v>
      </c>
      <c r="E302" s="1">
        <v>951483.60000000009</v>
      </c>
      <c r="F302" s="3">
        <v>295000</v>
      </c>
      <c r="G302" s="2">
        <v>1362800</v>
      </c>
      <c r="H302" s="3">
        <v>3525600</v>
      </c>
      <c r="I302" s="248">
        <v>63100</v>
      </c>
      <c r="J302" s="284">
        <v>93600</v>
      </c>
      <c r="K302" s="322">
        <v>179100</v>
      </c>
      <c r="L302" s="3">
        <v>77600</v>
      </c>
      <c r="M302" s="360">
        <v>468322.80000000005</v>
      </c>
      <c r="N302" s="395">
        <v>41300</v>
      </c>
      <c r="O302" s="3">
        <v>203700</v>
      </c>
      <c r="P302" s="3">
        <v>36700</v>
      </c>
      <c r="Q302" s="3">
        <v>458100</v>
      </c>
      <c r="R302" s="3">
        <v>244000</v>
      </c>
    </row>
    <row r="303" spans="1:18" x14ac:dyDescent="0.35">
      <c r="A303" s="121">
        <v>41426</v>
      </c>
      <c r="B303" s="183">
        <v>81500</v>
      </c>
      <c r="C303" s="216">
        <v>197800</v>
      </c>
      <c r="D303" s="3">
        <v>331900</v>
      </c>
      <c r="E303" s="1">
        <v>501071.19999999995</v>
      </c>
      <c r="F303" s="3">
        <v>198000</v>
      </c>
      <c r="G303" s="2">
        <v>856900</v>
      </c>
      <c r="H303" s="3">
        <v>2537000</v>
      </c>
      <c r="I303" s="249">
        <v>38800</v>
      </c>
      <c r="J303" s="285">
        <v>54900</v>
      </c>
      <c r="K303" s="323">
        <v>103200</v>
      </c>
      <c r="L303" s="3">
        <v>100</v>
      </c>
      <c r="M303" s="359">
        <v>1225523.2000000002</v>
      </c>
      <c r="N303" s="395">
        <v>30600</v>
      </c>
      <c r="O303" s="3">
        <v>66900</v>
      </c>
      <c r="P303" s="3">
        <v>32400</v>
      </c>
      <c r="Q303" s="3">
        <v>415100</v>
      </c>
      <c r="R303" s="3">
        <v>0</v>
      </c>
    </row>
    <row r="304" spans="1:18" x14ac:dyDescent="0.35">
      <c r="A304" s="121">
        <v>41456</v>
      </c>
      <c r="B304" s="206">
        <v>91400</v>
      </c>
      <c r="C304" s="239">
        <v>218200</v>
      </c>
      <c r="D304" s="27">
        <v>412300</v>
      </c>
      <c r="E304" s="1">
        <v>433889.6</v>
      </c>
      <c r="F304" s="27">
        <v>180000</v>
      </c>
      <c r="G304" s="2">
        <v>716000</v>
      </c>
      <c r="H304" s="27">
        <v>2290600</v>
      </c>
      <c r="I304" s="276">
        <v>47100</v>
      </c>
      <c r="J304" s="313">
        <v>52000</v>
      </c>
      <c r="K304" s="350">
        <v>112200</v>
      </c>
      <c r="L304" s="27">
        <v>206900</v>
      </c>
      <c r="M304" s="359">
        <v>686514.4</v>
      </c>
      <c r="N304" s="420">
        <v>34300</v>
      </c>
      <c r="O304" s="27">
        <v>0</v>
      </c>
      <c r="P304" s="27">
        <v>29800</v>
      </c>
      <c r="Q304" s="27">
        <v>402300</v>
      </c>
      <c r="R304" s="27">
        <v>180000</v>
      </c>
    </row>
    <row r="305" spans="1:18" x14ac:dyDescent="0.35">
      <c r="A305" s="121">
        <v>41487</v>
      </c>
      <c r="B305" s="206">
        <v>92600</v>
      </c>
      <c r="C305" s="239">
        <v>285100</v>
      </c>
      <c r="D305" s="27">
        <v>579500</v>
      </c>
      <c r="E305" s="1">
        <v>679019.2</v>
      </c>
      <c r="F305" s="27">
        <v>236000</v>
      </c>
      <c r="G305" s="2">
        <v>986300</v>
      </c>
      <c r="H305" s="27">
        <v>3017400</v>
      </c>
      <c r="I305" s="276">
        <v>65000</v>
      </c>
      <c r="J305" s="312">
        <v>82600</v>
      </c>
      <c r="K305" s="349">
        <v>118000</v>
      </c>
      <c r="L305" s="27">
        <v>350100</v>
      </c>
      <c r="M305" s="385">
        <v>924902</v>
      </c>
      <c r="N305" s="420">
        <v>42600</v>
      </c>
      <c r="O305" s="27">
        <v>200500</v>
      </c>
      <c r="P305" s="27">
        <v>36100</v>
      </c>
      <c r="Q305" s="27">
        <v>281300</v>
      </c>
      <c r="R305" s="27">
        <v>370700</v>
      </c>
    </row>
    <row r="306" spans="1:18" x14ac:dyDescent="0.35">
      <c r="A306" s="121">
        <v>41518</v>
      </c>
      <c r="B306" s="182">
        <v>101400</v>
      </c>
      <c r="C306" s="215">
        <v>293600</v>
      </c>
      <c r="D306" s="29">
        <v>516100</v>
      </c>
      <c r="E306" s="1">
        <v>599522</v>
      </c>
      <c r="F306" s="29">
        <v>185000</v>
      </c>
      <c r="G306" s="2">
        <v>854100</v>
      </c>
      <c r="H306" s="29">
        <v>2641600</v>
      </c>
      <c r="I306" s="248">
        <v>58600</v>
      </c>
      <c r="J306" s="284">
        <v>81600</v>
      </c>
      <c r="K306" s="322">
        <v>109800</v>
      </c>
      <c r="L306" s="29">
        <v>288600</v>
      </c>
      <c r="M306" s="359">
        <v>683597.20000000007</v>
      </c>
      <c r="N306" s="394">
        <v>44300</v>
      </c>
      <c r="O306" s="29">
        <v>163700</v>
      </c>
      <c r="P306" s="29">
        <v>28400</v>
      </c>
      <c r="Q306" s="29">
        <v>1200</v>
      </c>
      <c r="R306" s="29">
        <v>208100</v>
      </c>
    </row>
    <row r="307" spans="1:18" x14ac:dyDescent="0.35">
      <c r="A307" s="121">
        <v>41548</v>
      </c>
      <c r="B307" s="182">
        <v>103800</v>
      </c>
      <c r="C307" s="215">
        <v>334500</v>
      </c>
      <c r="D307" s="29">
        <v>566300</v>
      </c>
      <c r="E307" s="1">
        <v>191700</v>
      </c>
      <c r="F307" s="29">
        <v>206000</v>
      </c>
      <c r="G307" s="2">
        <v>941200</v>
      </c>
      <c r="H307" s="29">
        <v>4155600</v>
      </c>
      <c r="I307" s="248">
        <v>78600</v>
      </c>
      <c r="J307" s="315">
        <v>87602</v>
      </c>
      <c r="K307" s="352">
        <v>153700</v>
      </c>
      <c r="L307" s="31">
        <v>375000</v>
      </c>
      <c r="M307" s="359">
        <v>1067919.6000000001</v>
      </c>
      <c r="N307" s="394">
        <v>43500</v>
      </c>
      <c r="O307" s="29">
        <v>212700</v>
      </c>
      <c r="P307" s="29">
        <v>23300</v>
      </c>
      <c r="Q307" s="29">
        <v>505400</v>
      </c>
      <c r="R307" s="29">
        <v>307100</v>
      </c>
    </row>
    <row r="308" spans="1:18" x14ac:dyDescent="0.35">
      <c r="A308" s="121">
        <v>41579</v>
      </c>
      <c r="B308" s="182">
        <v>74700</v>
      </c>
      <c r="C308" s="215">
        <v>222500</v>
      </c>
      <c r="D308" s="29">
        <v>458600</v>
      </c>
      <c r="E308" s="1">
        <v>189200</v>
      </c>
      <c r="F308" s="29">
        <v>203000</v>
      </c>
      <c r="G308" s="2">
        <v>828800</v>
      </c>
      <c r="H308" s="29">
        <v>2731600</v>
      </c>
      <c r="I308" s="248">
        <v>43300</v>
      </c>
      <c r="J308" s="315">
        <v>67600</v>
      </c>
      <c r="K308" s="352">
        <v>117500</v>
      </c>
      <c r="L308" s="31">
        <v>297500</v>
      </c>
      <c r="M308" s="359">
        <v>782408</v>
      </c>
      <c r="N308" s="394">
        <v>26600</v>
      </c>
      <c r="O308" s="29">
        <v>168700</v>
      </c>
      <c r="P308" s="29">
        <v>47400</v>
      </c>
      <c r="Q308" s="29">
        <v>473200</v>
      </c>
      <c r="R308" s="29">
        <v>285300</v>
      </c>
    </row>
    <row r="309" spans="1:18" x14ac:dyDescent="0.35">
      <c r="A309" s="121">
        <v>41609</v>
      </c>
      <c r="B309" s="182">
        <v>113300</v>
      </c>
      <c r="C309" s="215">
        <v>227000</v>
      </c>
      <c r="D309" s="29">
        <v>474600</v>
      </c>
      <c r="E309" s="1">
        <v>26400</v>
      </c>
      <c r="F309" s="29">
        <v>39000</v>
      </c>
      <c r="G309" s="2">
        <v>642500</v>
      </c>
      <c r="H309" s="29">
        <v>2233400</v>
      </c>
      <c r="I309" s="248">
        <v>52200</v>
      </c>
      <c r="J309" s="315">
        <v>57900</v>
      </c>
      <c r="K309" s="352">
        <v>115100</v>
      </c>
      <c r="L309" s="31">
        <v>256500</v>
      </c>
      <c r="M309" s="359">
        <v>859227.60000000009</v>
      </c>
      <c r="N309" s="394">
        <v>30500</v>
      </c>
      <c r="O309" s="29">
        <v>146200</v>
      </c>
      <c r="P309" s="29">
        <v>34900</v>
      </c>
      <c r="Q309" s="29">
        <v>367100</v>
      </c>
      <c r="R309" s="29">
        <v>234000</v>
      </c>
    </row>
    <row r="310" spans="1:18" x14ac:dyDescent="0.35">
      <c r="A310" s="121">
        <v>41640</v>
      </c>
      <c r="B310" s="182">
        <v>129500</v>
      </c>
      <c r="C310" s="215">
        <v>365600</v>
      </c>
      <c r="D310" s="29">
        <v>553600</v>
      </c>
      <c r="E310" s="1">
        <v>273800</v>
      </c>
      <c r="F310" s="29">
        <v>292000</v>
      </c>
      <c r="G310" s="2">
        <v>1045500</v>
      </c>
      <c r="H310" s="29">
        <v>3003700</v>
      </c>
      <c r="I310" s="248">
        <v>83200</v>
      </c>
      <c r="J310" s="315">
        <v>119800</v>
      </c>
      <c r="K310" s="352">
        <v>177900</v>
      </c>
      <c r="L310" s="31">
        <v>362100</v>
      </c>
      <c r="M310" s="359">
        <v>678062</v>
      </c>
      <c r="N310" s="394">
        <v>47800</v>
      </c>
      <c r="O310" s="29">
        <v>280500</v>
      </c>
      <c r="P310" s="29">
        <v>72100</v>
      </c>
      <c r="Q310" s="29">
        <v>555800</v>
      </c>
      <c r="R310" s="29">
        <v>348400</v>
      </c>
    </row>
    <row r="311" spans="1:18" x14ac:dyDescent="0.35">
      <c r="A311" s="121">
        <v>41671</v>
      </c>
      <c r="B311" s="182">
        <v>48100</v>
      </c>
      <c r="C311" s="215">
        <v>142500</v>
      </c>
      <c r="D311" s="29">
        <v>288100</v>
      </c>
      <c r="E311" s="1">
        <v>149900</v>
      </c>
      <c r="F311" s="29">
        <v>204000</v>
      </c>
      <c r="G311" s="2">
        <v>439600</v>
      </c>
      <c r="H311" s="29">
        <v>1066100</v>
      </c>
      <c r="I311" s="248">
        <v>40900</v>
      </c>
      <c r="J311" s="315">
        <v>44900</v>
      </c>
      <c r="K311" s="352">
        <v>74300</v>
      </c>
      <c r="L311" s="31">
        <v>90800</v>
      </c>
      <c r="M311" s="359">
        <v>347072</v>
      </c>
      <c r="N311" s="394">
        <v>32800</v>
      </c>
      <c r="O311" s="29">
        <v>117600</v>
      </c>
      <c r="P311" s="29">
        <v>34600</v>
      </c>
      <c r="Q311" s="29">
        <v>321200</v>
      </c>
      <c r="R311" s="29">
        <v>204700</v>
      </c>
    </row>
    <row r="312" spans="1:18" x14ac:dyDescent="0.35">
      <c r="A312" s="121">
        <v>41699</v>
      </c>
      <c r="B312" s="182">
        <v>38100</v>
      </c>
      <c r="C312" s="215">
        <v>137900</v>
      </c>
      <c r="D312" s="29">
        <v>283100</v>
      </c>
      <c r="E312" s="1">
        <v>174977</v>
      </c>
      <c r="F312" s="29">
        <v>244000</v>
      </c>
      <c r="G312" s="2">
        <v>406200</v>
      </c>
      <c r="H312" s="29">
        <v>1882300</v>
      </c>
      <c r="I312" s="248">
        <v>28300</v>
      </c>
      <c r="J312" s="315">
        <v>34600</v>
      </c>
      <c r="K312" s="352">
        <v>57300</v>
      </c>
      <c r="L312" s="31">
        <v>105900</v>
      </c>
      <c r="M312" s="359">
        <v>273094.8</v>
      </c>
      <c r="N312" s="394">
        <v>17700</v>
      </c>
      <c r="O312" s="29">
        <v>118000</v>
      </c>
      <c r="P312" s="29">
        <v>38800</v>
      </c>
      <c r="Q312" s="29">
        <v>310500</v>
      </c>
      <c r="R312" s="29">
        <v>180100</v>
      </c>
    </row>
    <row r="313" spans="1:18" x14ac:dyDescent="0.35">
      <c r="A313" s="121">
        <v>41730</v>
      </c>
      <c r="B313" s="182">
        <v>78400</v>
      </c>
      <c r="C313" s="215">
        <v>181700</v>
      </c>
      <c r="D313" s="29">
        <v>376900</v>
      </c>
      <c r="E313" s="1">
        <v>174309</v>
      </c>
      <c r="F313" s="29">
        <v>259000</v>
      </c>
      <c r="G313" s="2">
        <v>737100</v>
      </c>
      <c r="H313" s="29">
        <v>2211300</v>
      </c>
      <c r="I313" s="248">
        <v>60500</v>
      </c>
      <c r="J313" s="315">
        <v>68400</v>
      </c>
      <c r="K313" s="352">
        <v>110200</v>
      </c>
      <c r="L313" s="31">
        <v>191540</v>
      </c>
      <c r="M313" s="359">
        <v>506321.2</v>
      </c>
      <c r="N313" s="394">
        <v>20800</v>
      </c>
      <c r="O313" s="29">
        <v>171600</v>
      </c>
      <c r="P313" s="29">
        <v>48200</v>
      </c>
      <c r="Q313" s="29">
        <v>398800</v>
      </c>
      <c r="R313" s="29">
        <v>227400</v>
      </c>
    </row>
    <row r="314" spans="1:18" x14ac:dyDescent="0.35">
      <c r="A314" s="121">
        <v>41760</v>
      </c>
      <c r="B314" s="182">
        <v>207600</v>
      </c>
      <c r="C314" s="215">
        <v>354300</v>
      </c>
      <c r="D314" s="29">
        <v>742100</v>
      </c>
      <c r="E314" s="1">
        <v>273700</v>
      </c>
      <c r="F314" s="29">
        <v>392000</v>
      </c>
      <c r="G314" s="2">
        <v>1414300</v>
      </c>
      <c r="H314" s="29">
        <v>4898900</v>
      </c>
      <c r="I314" s="248">
        <v>114800</v>
      </c>
      <c r="J314" s="315">
        <v>113900</v>
      </c>
      <c r="K314" s="352">
        <v>176500</v>
      </c>
      <c r="L314" s="31">
        <v>433700</v>
      </c>
      <c r="M314" s="359">
        <v>1115642</v>
      </c>
      <c r="N314" s="394">
        <v>37600</v>
      </c>
      <c r="O314" s="29">
        <v>316200</v>
      </c>
      <c r="P314" s="29">
        <v>80200</v>
      </c>
      <c r="Q314" s="29">
        <v>550800</v>
      </c>
      <c r="R314" s="29">
        <v>492600</v>
      </c>
    </row>
    <row r="315" spans="1:18" x14ac:dyDescent="0.35">
      <c r="A315" s="121">
        <v>41791</v>
      </c>
      <c r="B315" s="182">
        <v>123400</v>
      </c>
      <c r="C315" s="215">
        <v>163200</v>
      </c>
      <c r="D315" s="29">
        <v>406300</v>
      </c>
      <c r="E315" s="1">
        <v>115020</v>
      </c>
      <c r="F315" s="29">
        <v>250000</v>
      </c>
      <c r="G315" s="2">
        <v>653800</v>
      </c>
      <c r="H315" s="29">
        <v>2870200</v>
      </c>
      <c r="I315" s="248">
        <v>58200</v>
      </c>
      <c r="J315" s="315">
        <v>51300</v>
      </c>
      <c r="K315" s="352">
        <v>100100</v>
      </c>
      <c r="L315" s="31">
        <v>149600</v>
      </c>
      <c r="M315" s="359">
        <v>167926</v>
      </c>
      <c r="N315" s="394">
        <v>23300</v>
      </c>
      <c r="O315" s="29">
        <v>113600</v>
      </c>
      <c r="P315" s="29">
        <v>37700</v>
      </c>
      <c r="Q315" s="29">
        <v>384300</v>
      </c>
      <c r="R315" s="29">
        <v>159400</v>
      </c>
    </row>
    <row r="316" spans="1:18" x14ac:dyDescent="0.35">
      <c r="A316" s="121">
        <v>41821</v>
      </c>
      <c r="B316" s="182">
        <v>176300</v>
      </c>
      <c r="C316" s="215">
        <v>273600</v>
      </c>
      <c r="D316" s="29">
        <v>584800</v>
      </c>
      <c r="E316" s="1">
        <v>165845</v>
      </c>
      <c r="F316" s="29">
        <v>335000</v>
      </c>
      <c r="G316" s="2">
        <v>1219500</v>
      </c>
      <c r="H316" s="29">
        <v>4331900</v>
      </c>
      <c r="I316" s="248">
        <v>88000</v>
      </c>
      <c r="J316" s="315">
        <v>74300</v>
      </c>
      <c r="K316" s="352">
        <v>148900</v>
      </c>
      <c r="L316" s="32">
        <v>478600</v>
      </c>
      <c r="M316" s="359">
        <v>1252226.8000000003</v>
      </c>
      <c r="N316" s="394">
        <v>26300</v>
      </c>
      <c r="O316" s="29">
        <v>132000</v>
      </c>
      <c r="P316" s="29">
        <v>56500</v>
      </c>
      <c r="Q316" s="29">
        <v>567500</v>
      </c>
      <c r="R316" s="29">
        <v>88500</v>
      </c>
    </row>
    <row r="317" spans="1:18" x14ac:dyDescent="0.35">
      <c r="A317" s="121">
        <v>41852</v>
      </c>
      <c r="B317" s="182">
        <v>163100</v>
      </c>
      <c r="C317" s="215">
        <v>301700</v>
      </c>
      <c r="D317" s="29">
        <v>571400</v>
      </c>
      <c r="E317" s="1">
        <v>225572</v>
      </c>
      <c r="F317" s="29">
        <v>331000</v>
      </c>
      <c r="G317" s="2">
        <v>997200</v>
      </c>
      <c r="H317" s="29">
        <v>3355100</v>
      </c>
      <c r="I317" s="248">
        <v>104900</v>
      </c>
      <c r="J317" s="315">
        <v>143300</v>
      </c>
      <c r="K317" s="352">
        <v>128378</v>
      </c>
      <c r="L317" s="32">
        <v>378600</v>
      </c>
      <c r="M317" s="359">
        <v>867530.4</v>
      </c>
      <c r="N317" s="394">
        <v>34600</v>
      </c>
      <c r="O317" s="29">
        <v>127300</v>
      </c>
      <c r="P317" s="29">
        <v>57600</v>
      </c>
      <c r="Q317" s="29">
        <v>366500</v>
      </c>
      <c r="R317" s="29">
        <v>18900</v>
      </c>
    </row>
    <row r="318" spans="1:18" x14ac:dyDescent="0.35">
      <c r="A318" s="121">
        <v>41883</v>
      </c>
      <c r="B318" s="182">
        <v>135000</v>
      </c>
      <c r="C318" s="215">
        <v>315800</v>
      </c>
      <c r="D318" s="29">
        <v>454700</v>
      </c>
      <c r="E318" s="1">
        <v>79358</v>
      </c>
      <c r="F318" s="29">
        <v>189000</v>
      </c>
      <c r="G318" s="2">
        <v>814100</v>
      </c>
      <c r="H318" s="29">
        <v>2523200</v>
      </c>
      <c r="I318" s="248">
        <v>86100</v>
      </c>
      <c r="J318" s="315">
        <v>53100</v>
      </c>
      <c r="K318" s="352">
        <v>95900</v>
      </c>
      <c r="L318" s="29">
        <v>340000</v>
      </c>
      <c r="M318" s="359">
        <v>722942</v>
      </c>
      <c r="N318" s="394">
        <v>47400</v>
      </c>
      <c r="O318" s="29">
        <v>134700</v>
      </c>
      <c r="P318" s="29">
        <v>79900</v>
      </c>
      <c r="Q318" s="29">
        <v>403200</v>
      </c>
      <c r="R318" s="29">
        <v>0</v>
      </c>
    </row>
    <row r="319" spans="1:18" x14ac:dyDescent="0.35">
      <c r="A319" s="121">
        <v>41913</v>
      </c>
      <c r="B319" s="208">
        <v>120600</v>
      </c>
      <c r="C319" s="241">
        <v>353300</v>
      </c>
      <c r="D319" s="33">
        <v>626200</v>
      </c>
      <c r="E319" s="1">
        <v>928807.60000000009</v>
      </c>
      <c r="F319" s="33">
        <v>431000</v>
      </c>
      <c r="G319" s="2">
        <v>859700</v>
      </c>
      <c r="H319" s="33">
        <v>2848000</v>
      </c>
      <c r="I319" s="278">
        <v>72200</v>
      </c>
      <c r="J319" s="316">
        <v>60100</v>
      </c>
      <c r="K319" s="353">
        <v>149500</v>
      </c>
      <c r="L319" s="33">
        <v>340000</v>
      </c>
      <c r="M319" s="387">
        <v>673274.8</v>
      </c>
      <c r="N319" s="422">
        <v>31200</v>
      </c>
      <c r="O319" s="33">
        <v>220300</v>
      </c>
      <c r="P319" s="33">
        <v>136900</v>
      </c>
      <c r="Q319" s="33">
        <v>674500</v>
      </c>
      <c r="R319" s="33">
        <v>101000</v>
      </c>
    </row>
    <row r="320" spans="1:18" x14ac:dyDescent="0.35">
      <c r="A320" s="121">
        <v>41944</v>
      </c>
      <c r="B320" s="208">
        <v>77200</v>
      </c>
      <c r="C320" s="241">
        <v>151900</v>
      </c>
      <c r="D320" s="33">
        <v>274000</v>
      </c>
      <c r="E320" s="1">
        <v>487021.19999999995</v>
      </c>
      <c r="F320" s="33">
        <v>150000</v>
      </c>
      <c r="G320" s="2">
        <v>593300</v>
      </c>
      <c r="H320" s="33">
        <v>1702800</v>
      </c>
      <c r="I320" s="278">
        <v>58700</v>
      </c>
      <c r="J320" s="316">
        <v>8400</v>
      </c>
      <c r="K320" s="353">
        <v>79400</v>
      </c>
      <c r="L320" s="33">
        <v>229700</v>
      </c>
      <c r="M320" s="387">
        <v>544244.80000000005</v>
      </c>
      <c r="N320" s="422">
        <v>14800</v>
      </c>
      <c r="O320" s="33">
        <v>98600</v>
      </c>
      <c r="P320" s="33">
        <v>17800</v>
      </c>
      <c r="Q320" s="33">
        <v>288000</v>
      </c>
      <c r="R320" s="33">
        <v>221000</v>
      </c>
    </row>
    <row r="321" spans="1:18" x14ac:dyDescent="0.35">
      <c r="A321" s="121">
        <v>41974</v>
      </c>
      <c r="B321" s="208">
        <v>34800</v>
      </c>
      <c r="C321" s="241">
        <v>97500</v>
      </c>
      <c r="D321" s="33">
        <v>156000</v>
      </c>
      <c r="E321" s="1">
        <v>380189.84000000008</v>
      </c>
      <c r="F321" s="33">
        <v>91000</v>
      </c>
      <c r="G321" s="2">
        <v>334700</v>
      </c>
      <c r="H321" s="33">
        <v>962100</v>
      </c>
      <c r="I321" s="278">
        <v>28300</v>
      </c>
      <c r="J321" s="316">
        <v>900</v>
      </c>
      <c r="K321" s="353">
        <v>40200</v>
      </c>
      <c r="L321" s="33">
        <v>92300</v>
      </c>
      <c r="M321" s="387">
        <v>300097.59999999998</v>
      </c>
      <c r="N321" s="422">
        <v>11500</v>
      </c>
      <c r="O321" s="33">
        <v>51000</v>
      </c>
      <c r="P321" s="33">
        <v>10900</v>
      </c>
      <c r="Q321" s="33">
        <v>94700</v>
      </c>
      <c r="R321" s="33">
        <v>116300</v>
      </c>
    </row>
    <row r="322" spans="1:18" x14ac:dyDescent="0.35">
      <c r="A322" s="121">
        <v>42005</v>
      </c>
      <c r="B322" s="208">
        <v>118200</v>
      </c>
      <c r="C322" s="241">
        <v>220500</v>
      </c>
      <c r="D322" s="33">
        <v>355300</v>
      </c>
      <c r="E322" s="1">
        <v>422637.76</v>
      </c>
      <c r="F322" s="33">
        <v>168000</v>
      </c>
      <c r="G322" s="2">
        <v>563100</v>
      </c>
      <c r="H322" s="33">
        <v>1899000</v>
      </c>
      <c r="I322" s="278">
        <v>68000</v>
      </c>
      <c r="J322" s="316">
        <v>35200</v>
      </c>
      <c r="K322" s="353">
        <v>129700</v>
      </c>
      <c r="L322" s="33">
        <v>150000</v>
      </c>
      <c r="M322" s="387">
        <v>386267.20000000007</v>
      </c>
      <c r="N322" s="422">
        <v>27800</v>
      </c>
      <c r="O322" s="33">
        <v>284000</v>
      </c>
      <c r="P322" s="33">
        <v>43400</v>
      </c>
      <c r="Q322" s="33">
        <v>377300</v>
      </c>
      <c r="R322" s="33">
        <v>400500</v>
      </c>
    </row>
    <row r="323" spans="1:18" x14ac:dyDescent="0.35">
      <c r="A323" s="121">
        <v>42036</v>
      </c>
      <c r="B323" s="208">
        <v>49200</v>
      </c>
      <c r="C323" s="241">
        <v>157790</v>
      </c>
      <c r="D323" s="33">
        <v>335200</v>
      </c>
      <c r="E323" s="1">
        <v>367257.19999999995</v>
      </c>
      <c r="F323" s="33">
        <v>150000</v>
      </c>
      <c r="G323" s="2">
        <v>455300</v>
      </c>
      <c r="H323" s="33">
        <v>1550600</v>
      </c>
      <c r="I323" s="278">
        <v>75500</v>
      </c>
      <c r="J323" s="316">
        <v>71800</v>
      </c>
      <c r="K323" s="353">
        <v>69900</v>
      </c>
      <c r="L323" s="33">
        <v>197700</v>
      </c>
      <c r="M323" s="387">
        <v>445209.59999999998</v>
      </c>
      <c r="N323" s="422">
        <v>22200</v>
      </c>
      <c r="O323" s="33">
        <v>150100</v>
      </c>
      <c r="P323" s="33">
        <v>50100</v>
      </c>
      <c r="Q323" s="33">
        <v>296100</v>
      </c>
      <c r="R323" s="33">
        <v>159300</v>
      </c>
    </row>
    <row r="324" spans="1:18" x14ac:dyDescent="0.35">
      <c r="A324" s="121">
        <v>42064</v>
      </c>
      <c r="B324" s="208">
        <v>50600</v>
      </c>
      <c r="C324" s="241">
        <v>187310</v>
      </c>
      <c r="D324" s="33">
        <v>391100</v>
      </c>
      <c r="E324" s="1">
        <v>460322</v>
      </c>
      <c r="F324" s="33">
        <v>181000</v>
      </c>
      <c r="G324" s="2">
        <v>592900</v>
      </c>
      <c r="H324" s="33">
        <v>2075400</v>
      </c>
      <c r="I324" s="278">
        <v>65800</v>
      </c>
      <c r="J324" s="316">
        <v>71800</v>
      </c>
      <c r="K324" s="353">
        <v>91300</v>
      </c>
      <c r="L324" s="33">
        <v>244300</v>
      </c>
      <c r="M324" s="387">
        <v>531828</v>
      </c>
      <c r="N324" s="422">
        <v>26700</v>
      </c>
      <c r="O324" s="33">
        <v>104000</v>
      </c>
      <c r="P324" s="33">
        <v>56800</v>
      </c>
      <c r="Q324" s="33">
        <v>329900</v>
      </c>
      <c r="R324" s="33">
        <v>176400</v>
      </c>
    </row>
    <row r="325" spans="1:18" x14ac:dyDescent="0.35">
      <c r="A325" s="121">
        <v>42095</v>
      </c>
      <c r="B325" s="209">
        <v>87600</v>
      </c>
      <c r="C325" s="242">
        <v>298900</v>
      </c>
      <c r="D325" s="34">
        <v>627800</v>
      </c>
      <c r="E325" s="1">
        <v>841143.6</v>
      </c>
      <c r="F325" s="34">
        <v>363000</v>
      </c>
      <c r="G325" s="2">
        <v>1214400</v>
      </c>
      <c r="H325" s="34">
        <v>3747000</v>
      </c>
      <c r="I325" s="279">
        <v>56000</v>
      </c>
      <c r="J325" s="317">
        <v>84800</v>
      </c>
      <c r="K325" s="354">
        <v>88400</v>
      </c>
      <c r="L325" s="34">
        <v>319400</v>
      </c>
      <c r="M325" s="388">
        <v>825642.40000000014</v>
      </c>
      <c r="N325" s="423">
        <v>35700</v>
      </c>
      <c r="O325" s="34">
        <v>209400</v>
      </c>
      <c r="P325" s="34">
        <v>56900</v>
      </c>
      <c r="Q325" s="34">
        <v>514200</v>
      </c>
      <c r="R325" s="34">
        <v>301300</v>
      </c>
    </row>
    <row r="326" spans="1:18" x14ac:dyDescent="0.35">
      <c r="A326" s="121">
        <v>42125</v>
      </c>
      <c r="B326" s="209">
        <v>87500</v>
      </c>
      <c r="C326" s="242">
        <v>213000</v>
      </c>
      <c r="D326" s="34">
        <v>405600</v>
      </c>
      <c r="E326" s="1">
        <v>591662.39999999991</v>
      </c>
      <c r="F326" s="34">
        <v>247000</v>
      </c>
      <c r="G326" s="2">
        <v>729400</v>
      </c>
      <c r="H326" s="34">
        <v>2173600</v>
      </c>
      <c r="I326" s="279">
        <v>36000</v>
      </c>
      <c r="J326" s="317">
        <v>31700</v>
      </c>
      <c r="K326" s="354">
        <v>38900</v>
      </c>
      <c r="L326" s="34">
        <v>139000</v>
      </c>
      <c r="M326" s="388">
        <v>679846.40000000002</v>
      </c>
      <c r="N326" s="423">
        <v>24000</v>
      </c>
      <c r="O326" s="34">
        <v>113500</v>
      </c>
      <c r="P326" s="34">
        <v>36900</v>
      </c>
      <c r="Q326" s="34">
        <v>343900</v>
      </c>
      <c r="R326" s="34">
        <v>180100</v>
      </c>
    </row>
    <row r="327" spans="1:18" x14ac:dyDescent="0.35">
      <c r="A327" s="122">
        <v>42156</v>
      </c>
      <c r="B327" s="209">
        <v>59500</v>
      </c>
      <c r="C327" s="242">
        <v>194600</v>
      </c>
      <c r="D327" s="34">
        <v>591800</v>
      </c>
      <c r="E327" s="1">
        <v>531858.80000000005</v>
      </c>
      <c r="F327" s="34">
        <v>201000</v>
      </c>
      <c r="G327" s="2">
        <v>663500</v>
      </c>
      <c r="H327" s="34">
        <v>2847400</v>
      </c>
      <c r="I327" s="279">
        <v>29400</v>
      </c>
      <c r="J327" s="317">
        <v>32300</v>
      </c>
      <c r="K327" s="354">
        <v>41500</v>
      </c>
      <c r="L327" s="34">
        <v>267400</v>
      </c>
      <c r="M327" s="388">
        <v>589050</v>
      </c>
      <c r="N327" s="423">
        <v>23800</v>
      </c>
      <c r="O327" s="34">
        <v>75700</v>
      </c>
      <c r="P327" s="34">
        <v>37800</v>
      </c>
      <c r="Q327" s="34">
        <v>341300</v>
      </c>
      <c r="R327" s="34">
        <v>178800</v>
      </c>
    </row>
    <row r="328" spans="1:18" x14ac:dyDescent="0.35">
      <c r="A328" s="122">
        <v>42186</v>
      </c>
      <c r="B328" s="209">
        <v>120200</v>
      </c>
      <c r="C328" s="242">
        <v>285700</v>
      </c>
      <c r="D328" s="34">
        <v>738800</v>
      </c>
      <c r="E328" s="1">
        <v>916720.8</v>
      </c>
      <c r="F328" s="34">
        <v>345000</v>
      </c>
      <c r="G328" s="2">
        <v>1223100</v>
      </c>
      <c r="H328" s="34">
        <v>4070832</v>
      </c>
      <c r="I328" s="279">
        <v>45100</v>
      </c>
      <c r="J328" s="317">
        <v>47700</v>
      </c>
      <c r="K328" s="354">
        <v>59800</v>
      </c>
      <c r="L328" s="34">
        <v>266100</v>
      </c>
      <c r="M328" s="388">
        <v>978907.6</v>
      </c>
      <c r="N328" s="423">
        <v>41700</v>
      </c>
      <c r="O328" s="34">
        <v>85100</v>
      </c>
      <c r="P328" s="34">
        <v>69300</v>
      </c>
      <c r="Q328" s="34">
        <v>475800</v>
      </c>
      <c r="R328" s="34">
        <v>265700</v>
      </c>
    </row>
    <row r="329" spans="1:18" x14ac:dyDescent="0.35">
      <c r="A329" s="122">
        <v>42217</v>
      </c>
      <c r="B329" s="209">
        <v>125400</v>
      </c>
      <c r="C329" s="242">
        <v>309200</v>
      </c>
      <c r="D329" s="34">
        <v>675300</v>
      </c>
      <c r="E329" s="1">
        <v>854446.8</v>
      </c>
      <c r="F329" s="34">
        <v>317000</v>
      </c>
      <c r="G329" s="2">
        <v>1078300</v>
      </c>
      <c r="H329" s="34">
        <v>3285900</v>
      </c>
      <c r="I329" s="279">
        <v>55900</v>
      </c>
      <c r="J329" s="317">
        <v>53300</v>
      </c>
      <c r="K329" s="354">
        <v>139300</v>
      </c>
      <c r="L329" s="34">
        <v>402400</v>
      </c>
      <c r="M329" s="388">
        <v>851298.8</v>
      </c>
      <c r="N329" s="423">
        <v>26900</v>
      </c>
      <c r="O329" s="34">
        <v>104900</v>
      </c>
      <c r="P329" s="34">
        <v>69500</v>
      </c>
      <c r="Q329" s="34">
        <v>504900</v>
      </c>
      <c r="R329" s="34">
        <v>230300</v>
      </c>
    </row>
    <row r="330" spans="1:18" x14ac:dyDescent="0.35">
      <c r="A330" s="122">
        <v>42248</v>
      </c>
      <c r="B330" s="209">
        <v>105700</v>
      </c>
      <c r="C330" s="242">
        <v>200900</v>
      </c>
      <c r="D330" s="34">
        <v>530000</v>
      </c>
      <c r="E330" s="1">
        <v>606745.20000000007</v>
      </c>
      <c r="F330" s="34">
        <v>279000</v>
      </c>
      <c r="G330" s="2">
        <v>865500</v>
      </c>
      <c r="H330" s="34">
        <v>2818800</v>
      </c>
      <c r="I330" s="279">
        <v>42700</v>
      </c>
      <c r="J330" s="317">
        <v>47600</v>
      </c>
      <c r="K330" s="354">
        <v>120800</v>
      </c>
      <c r="L330" s="34">
        <v>406400</v>
      </c>
      <c r="M330" s="388">
        <v>701998</v>
      </c>
      <c r="N330" s="423">
        <v>20600</v>
      </c>
      <c r="O330" s="34">
        <v>79600</v>
      </c>
      <c r="P330" s="34">
        <v>53800</v>
      </c>
      <c r="Q330" s="34">
        <v>409400</v>
      </c>
      <c r="R330" s="34">
        <v>189200</v>
      </c>
    </row>
    <row r="331" spans="1:18" x14ac:dyDescent="0.35">
      <c r="A331" s="122">
        <v>42278</v>
      </c>
      <c r="B331" s="209">
        <v>90400</v>
      </c>
      <c r="C331" s="242">
        <v>229800</v>
      </c>
      <c r="D331" s="34">
        <v>475700</v>
      </c>
      <c r="E331" s="1">
        <v>560185.20000000007</v>
      </c>
      <c r="F331" s="34">
        <v>254780</v>
      </c>
      <c r="G331" s="2">
        <v>667500</v>
      </c>
      <c r="H331" s="34">
        <v>2396150</v>
      </c>
      <c r="I331" s="279">
        <v>37200</v>
      </c>
      <c r="J331" s="317">
        <v>40400</v>
      </c>
      <c r="K331" s="354">
        <v>149200</v>
      </c>
      <c r="L331" s="34">
        <v>309800</v>
      </c>
      <c r="M331" s="388">
        <v>569901.19999999995</v>
      </c>
      <c r="N331" s="423">
        <v>10900</v>
      </c>
      <c r="O331" s="34">
        <v>88200</v>
      </c>
      <c r="P331" s="34">
        <v>48800</v>
      </c>
      <c r="Q331" s="34">
        <v>313400</v>
      </c>
      <c r="R331" s="34">
        <v>174700</v>
      </c>
    </row>
    <row r="332" spans="1:18" x14ac:dyDescent="0.35">
      <c r="A332" s="122">
        <v>42309</v>
      </c>
      <c r="B332" s="209">
        <v>85200</v>
      </c>
      <c r="C332" s="242">
        <v>238400</v>
      </c>
      <c r="D332" s="34">
        <v>545800</v>
      </c>
      <c r="E332" s="1">
        <v>810134.4</v>
      </c>
      <c r="F332" s="34">
        <v>221000</v>
      </c>
      <c r="G332" s="2">
        <v>860500</v>
      </c>
      <c r="H332" s="34">
        <v>3108250</v>
      </c>
      <c r="I332" s="279">
        <v>41500</v>
      </c>
      <c r="J332" s="317">
        <v>77900</v>
      </c>
      <c r="K332" s="354">
        <v>86000</v>
      </c>
      <c r="L332" s="34">
        <v>344800</v>
      </c>
      <c r="M332" s="388">
        <v>555838.80000000005</v>
      </c>
      <c r="N332" s="423">
        <v>28800</v>
      </c>
      <c r="O332" s="34">
        <v>276700</v>
      </c>
      <c r="P332" s="34">
        <v>53500</v>
      </c>
      <c r="Q332" s="34">
        <v>409700</v>
      </c>
      <c r="R332" s="34">
        <v>180900</v>
      </c>
    </row>
    <row r="333" spans="1:18" x14ac:dyDescent="0.35">
      <c r="A333" s="122">
        <v>42339</v>
      </c>
      <c r="B333" s="209">
        <v>105200</v>
      </c>
      <c r="C333" s="242">
        <v>140500</v>
      </c>
      <c r="D333" s="34">
        <v>285200</v>
      </c>
      <c r="E333" s="1">
        <v>606028</v>
      </c>
      <c r="F333" s="34">
        <v>126900</v>
      </c>
      <c r="G333" s="2">
        <v>431080</v>
      </c>
      <c r="H333" s="34">
        <v>1510470</v>
      </c>
      <c r="I333" s="279">
        <v>35600</v>
      </c>
      <c r="J333" s="317">
        <v>46600</v>
      </c>
      <c r="K333" s="354">
        <v>47800</v>
      </c>
      <c r="L333" s="34">
        <v>191100</v>
      </c>
      <c r="M333" s="388">
        <v>433166.8</v>
      </c>
      <c r="N333" s="423">
        <v>17300</v>
      </c>
      <c r="O333" s="34">
        <v>167400</v>
      </c>
      <c r="P333" s="34">
        <v>29400</v>
      </c>
      <c r="Q333" s="34">
        <v>274400</v>
      </c>
      <c r="R333" s="34">
        <v>130100</v>
      </c>
    </row>
    <row r="334" spans="1:18" x14ac:dyDescent="0.35">
      <c r="A334" s="122">
        <v>42370</v>
      </c>
      <c r="B334" s="209">
        <v>45000</v>
      </c>
      <c r="C334" s="242">
        <v>103300</v>
      </c>
      <c r="D334" s="34">
        <v>157300</v>
      </c>
      <c r="E334" s="1">
        <v>201828.40000000002</v>
      </c>
      <c r="F334" s="34">
        <v>63000</v>
      </c>
      <c r="G334" s="2">
        <v>157700</v>
      </c>
      <c r="H334" s="34">
        <v>746940</v>
      </c>
      <c r="I334" s="279">
        <v>25300</v>
      </c>
      <c r="J334" s="317">
        <v>20000</v>
      </c>
      <c r="K334" s="354">
        <v>23200</v>
      </c>
      <c r="L334" s="34">
        <v>77000</v>
      </c>
      <c r="M334" s="388">
        <v>229935.2</v>
      </c>
      <c r="N334" s="423">
        <v>8700</v>
      </c>
      <c r="O334" s="34">
        <v>73300</v>
      </c>
      <c r="P334" s="34">
        <v>12500</v>
      </c>
      <c r="Q334" s="34">
        <v>136800</v>
      </c>
      <c r="R334" s="34">
        <v>58500</v>
      </c>
    </row>
    <row r="335" spans="1:18" x14ac:dyDescent="0.35">
      <c r="A335" s="122">
        <v>42401</v>
      </c>
      <c r="B335" s="209">
        <v>75600</v>
      </c>
      <c r="C335" s="242">
        <v>214900</v>
      </c>
      <c r="D335" s="34">
        <v>448750</v>
      </c>
      <c r="E335" s="1">
        <v>537018.4</v>
      </c>
      <c r="F335" s="34">
        <v>167000</v>
      </c>
      <c r="G335" s="2">
        <v>719100</v>
      </c>
      <c r="H335" s="34">
        <v>2062820</v>
      </c>
      <c r="I335" s="279">
        <v>43000</v>
      </c>
      <c r="J335" s="317">
        <v>67200</v>
      </c>
      <c r="K335" s="354">
        <v>79500</v>
      </c>
      <c r="L335" s="34">
        <v>282000</v>
      </c>
      <c r="M335" s="388">
        <v>521804.80000000005</v>
      </c>
      <c r="N335" s="423">
        <v>17300</v>
      </c>
      <c r="O335" s="34">
        <v>125600</v>
      </c>
      <c r="P335" s="34">
        <v>43200</v>
      </c>
      <c r="Q335" s="34">
        <v>94500</v>
      </c>
      <c r="R335" s="34">
        <v>154400</v>
      </c>
    </row>
    <row r="336" spans="1:18" x14ac:dyDescent="0.35">
      <c r="A336" s="122">
        <v>42430</v>
      </c>
      <c r="B336" s="209">
        <v>34200</v>
      </c>
      <c r="C336" s="242">
        <v>119700</v>
      </c>
      <c r="D336" s="34">
        <v>209500</v>
      </c>
      <c r="E336" s="1">
        <v>341534.4</v>
      </c>
      <c r="F336" s="34">
        <v>102000</v>
      </c>
      <c r="G336" s="2">
        <v>236200</v>
      </c>
      <c r="H336" s="34">
        <v>1087380</v>
      </c>
      <c r="I336" s="279">
        <v>23900</v>
      </c>
      <c r="J336" s="317">
        <v>36000</v>
      </c>
      <c r="K336" s="354">
        <v>37900</v>
      </c>
      <c r="L336" s="34">
        <v>103100</v>
      </c>
      <c r="M336" s="388">
        <v>332635.59999999998</v>
      </c>
      <c r="N336" s="423">
        <v>15800</v>
      </c>
      <c r="O336" s="34">
        <v>29800</v>
      </c>
      <c r="P336" s="34">
        <v>24400</v>
      </c>
      <c r="Q336" s="34">
        <v>149200</v>
      </c>
      <c r="R336" s="34">
        <v>85000</v>
      </c>
    </row>
    <row r="337" spans="1:18" x14ac:dyDescent="0.35">
      <c r="A337" s="122">
        <v>42461</v>
      </c>
      <c r="B337" s="208">
        <v>91600</v>
      </c>
      <c r="C337" s="241">
        <v>212000</v>
      </c>
      <c r="D337" s="33">
        <v>476000</v>
      </c>
      <c r="E337" s="1">
        <v>571495.19999999995</v>
      </c>
      <c r="F337" s="33">
        <v>233000</v>
      </c>
      <c r="G337" s="2">
        <v>722400</v>
      </c>
      <c r="H337" s="33">
        <v>2469400</v>
      </c>
      <c r="I337" s="278">
        <v>42300</v>
      </c>
      <c r="J337" s="316">
        <v>57600</v>
      </c>
      <c r="K337" s="353">
        <v>76600</v>
      </c>
      <c r="L337" s="33">
        <v>196900</v>
      </c>
      <c r="M337" s="387">
        <v>590620.80000000005</v>
      </c>
      <c r="N337" s="422">
        <v>14700</v>
      </c>
      <c r="O337" s="33">
        <v>35700</v>
      </c>
      <c r="P337" s="33">
        <v>60800</v>
      </c>
      <c r="Q337" s="33">
        <v>441900</v>
      </c>
      <c r="R337" s="33">
        <v>143300</v>
      </c>
    </row>
    <row r="338" spans="1:18" x14ac:dyDescent="0.35">
      <c r="A338" s="122">
        <v>42491</v>
      </c>
      <c r="B338" s="208">
        <v>134800</v>
      </c>
      <c r="C338" s="241">
        <v>279600</v>
      </c>
      <c r="D338" s="33">
        <v>616900</v>
      </c>
      <c r="E338" s="1">
        <v>965414.40000000002</v>
      </c>
      <c r="F338" s="33">
        <v>313000</v>
      </c>
      <c r="G338" s="2">
        <v>1140200</v>
      </c>
      <c r="H338" s="33">
        <v>3618500</v>
      </c>
      <c r="I338" s="278">
        <v>53100</v>
      </c>
      <c r="J338" s="316">
        <v>70900</v>
      </c>
      <c r="K338" s="353">
        <v>89300</v>
      </c>
      <c r="L338" s="33">
        <v>268700</v>
      </c>
      <c r="M338" s="387">
        <v>874711.20000000007</v>
      </c>
      <c r="N338" s="422">
        <v>29100</v>
      </c>
      <c r="O338" s="33">
        <v>32300</v>
      </c>
      <c r="P338" s="33">
        <v>60000</v>
      </c>
      <c r="Q338" s="33">
        <v>361700</v>
      </c>
      <c r="R338" s="33">
        <v>163800</v>
      </c>
    </row>
    <row r="339" spans="1:18" x14ac:dyDescent="0.35">
      <c r="A339" s="122">
        <v>42522</v>
      </c>
      <c r="B339" s="208">
        <v>109200</v>
      </c>
      <c r="C339" s="241">
        <v>213300</v>
      </c>
      <c r="D339" s="33">
        <v>382300</v>
      </c>
      <c r="E339" s="1">
        <v>611273.60000000009</v>
      </c>
      <c r="F339" s="33">
        <v>259000</v>
      </c>
      <c r="G339" s="2">
        <v>561500</v>
      </c>
      <c r="H339" s="33">
        <v>2925000</v>
      </c>
      <c r="I339" s="278">
        <v>39700</v>
      </c>
      <c r="J339" s="316">
        <v>68800</v>
      </c>
      <c r="K339" s="353">
        <v>65500</v>
      </c>
      <c r="L339" s="33">
        <v>281900</v>
      </c>
      <c r="M339" s="387">
        <v>659436.80000000005</v>
      </c>
      <c r="N339" s="422">
        <v>16200</v>
      </c>
      <c r="O339" s="33">
        <v>14000</v>
      </c>
      <c r="P339" s="33">
        <v>51000</v>
      </c>
      <c r="Q339" s="33">
        <v>342500</v>
      </c>
      <c r="R339" s="33">
        <v>136700</v>
      </c>
    </row>
    <row r="340" spans="1:18" x14ac:dyDescent="0.35">
      <c r="A340" s="122">
        <v>42552</v>
      </c>
      <c r="B340" s="208">
        <v>134600</v>
      </c>
      <c r="C340" s="241">
        <v>276300</v>
      </c>
      <c r="D340" s="33">
        <v>517700</v>
      </c>
      <c r="E340" s="1">
        <v>850672.8</v>
      </c>
      <c r="F340" s="33">
        <v>266000</v>
      </c>
      <c r="G340" s="2">
        <v>1003400</v>
      </c>
      <c r="H340" s="33">
        <v>3390400</v>
      </c>
      <c r="I340" s="278">
        <v>42900</v>
      </c>
      <c r="J340" s="316">
        <v>84700</v>
      </c>
      <c r="K340" s="353">
        <v>155200</v>
      </c>
      <c r="L340" s="33">
        <v>285700</v>
      </c>
      <c r="M340" s="387">
        <v>854066.39999999991</v>
      </c>
      <c r="N340" s="422">
        <v>45300</v>
      </c>
      <c r="O340" s="33">
        <v>9700</v>
      </c>
      <c r="P340" s="33">
        <v>58100</v>
      </c>
      <c r="Q340" s="33">
        <v>377700</v>
      </c>
      <c r="R340" s="33">
        <v>168200</v>
      </c>
    </row>
    <row r="341" spans="1:18" x14ac:dyDescent="0.35">
      <c r="A341" s="122">
        <v>42583</v>
      </c>
      <c r="B341" s="208">
        <v>155200</v>
      </c>
      <c r="C341" s="241">
        <v>337400</v>
      </c>
      <c r="D341" s="33">
        <v>659600</v>
      </c>
      <c r="E341" s="1">
        <v>1045868.8</v>
      </c>
      <c r="F341" s="33">
        <v>335000</v>
      </c>
      <c r="G341" s="2">
        <v>1208200</v>
      </c>
      <c r="H341" s="33">
        <v>4391800</v>
      </c>
      <c r="I341" s="278">
        <v>61000</v>
      </c>
      <c r="J341" s="316">
        <v>111000</v>
      </c>
      <c r="K341" s="353">
        <v>117900</v>
      </c>
      <c r="L341" s="33">
        <v>422600</v>
      </c>
      <c r="M341" s="387">
        <v>977710.8</v>
      </c>
      <c r="N341" s="422">
        <v>40400</v>
      </c>
      <c r="O341" s="33">
        <v>4900</v>
      </c>
      <c r="P341" s="33">
        <v>72300</v>
      </c>
      <c r="Q341" s="33">
        <v>464900</v>
      </c>
      <c r="R341" s="33">
        <v>219200</v>
      </c>
    </row>
    <row r="342" spans="1:18" x14ac:dyDescent="0.35">
      <c r="A342" s="122">
        <v>42614</v>
      </c>
      <c r="B342" s="208">
        <v>102900</v>
      </c>
      <c r="C342" s="241">
        <v>244100</v>
      </c>
      <c r="D342" s="33">
        <v>575600</v>
      </c>
      <c r="E342" s="1">
        <v>636505.20000000007</v>
      </c>
      <c r="F342" s="33">
        <v>229000</v>
      </c>
      <c r="G342" s="2">
        <v>912100</v>
      </c>
      <c r="H342" s="33">
        <v>2350700</v>
      </c>
      <c r="I342" s="278">
        <v>42100</v>
      </c>
      <c r="J342" s="316">
        <v>78600</v>
      </c>
      <c r="K342" s="353">
        <v>88000</v>
      </c>
      <c r="L342" s="33">
        <v>317100</v>
      </c>
      <c r="M342" s="387">
        <v>598549.6</v>
      </c>
      <c r="N342" s="422">
        <v>18400</v>
      </c>
      <c r="O342" s="33">
        <v>3400</v>
      </c>
      <c r="P342" s="33">
        <v>52400</v>
      </c>
      <c r="Q342" s="33">
        <v>357600</v>
      </c>
      <c r="R342" s="33">
        <v>151300</v>
      </c>
    </row>
    <row r="343" spans="1:18" x14ac:dyDescent="0.35">
      <c r="A343" s="121">
        <v>42644</v>
      </c>
      <c r="B343" s="207">
        <v>99200</v>
      </c>
      <c r="C343" s="240">
        <v>249000</v>
      </c>
      <c r="D343" s="30">
        <v>474300</v>
      </c>
      <c r="E343" s="1">
        <v>522808.79999999993</v>
      </c>
      <c r="F343" s="30">
        <v>268000</v>
      </c>
      <c r="G343" s="2">
        <v>765500</v>
      </c>
      <c r="H343" s="30">
        <v>2870400</v>
      </c>
      <c r="I343" s="277">
        <v>54800</v>
      </c>
      <c r="J343" s="314">
        <v>85500</v>
      </c>
      <c r="K343" s="351">
        <v>95000</v>
      </c>
      <c r="L343" s="30">
        <v>337800</v>
      </c>
      <c r="M343" s="386">
        <v>556960.80000000005</v>
      </c>
      <c r="N343" s="421">
        <v>12800</v>
      </c>
      <c r="O343" s="30">
        <v>3700</v>
      </c>
      <c r="P343" s="30">
        <v>50100</v>
      </c>
      <c r="Q343" s="30">
        <v>390200</v>
      </c>
      <c r="R343" s="30">
        <v>159600</v>
      </c>
    </row>
    <row r="344" spans="1:18" x14ac:dyDescent="0.35">
      <c r="A344" s="121">
        <v>42675</v>
      </c>
      <c r="B344" s="207">
        <v>29300</v>
      </c>
      <c r="C344" s="240">
        <v>189000</v>
      </c>
      <c r="D344" s="30">
        <v>350400</v>
      </c>
      <c r="E344" s="1">
        <v>361946</v>
      </c>
      <c r="F344" s="30">
        <v>167000</v>
      </c>
      <c r="G344" s="2">
        <v>470900</v>
      </c>
      <c r="H344" s="30">
        <v>1766400</v>
      </c>
      <c r="I344" s="277">
        <v>36900</v>
      </c>
      <c r="J344" s="314">
        <v>60300</v>
      </c>
      <c r="K344" s="351">
        <v>76500</v>
      </c>
      <c r="L344" s="30">
        <v>246600</v>
      </c>
      <c r="M344" s="386">
        <v>368689.2</v>
      </c>
      <c r="N344" s="421">
        <v>9000</v>
      </c>
      <c r="O344" s="30">
        <v>12200</v>
      </c>
      <c r="P344" s="30">
        <v>42400</v>
      </c>
      <c r="Q344" s="30">
        <v>296700</v>
      </c>
      <c r="R344" s="30">
        <v>103200</v>
      </c>
    </row>
    <row r="345" spans="1:18" x14ac:dyDescent="0.35">
      <c r="A345" s="121">
        <v>42705</v>
      </c>
      <c r="B345" s="207">
        <v>41400</v>
      </c>
      <c r="C345" s="240">
        <v>62400</v>
      </c>
      <c r="D345" s="30">
        <v>144400</v>
      </c>
      <c r="E345" s="1">
        <v>424980.4</v>
      </c>
      <c r="F345" s="30">
        <v>82000</v>
      </c>
      <c r="G345" s="2">
        <v>291500</v>
      </c>
      <c r="H345" s="30">
        <v>565000</v>
      </c>
      <c r="I345" s="277">
        <v>22500</v>
      </c>
      <c r="J345" s="314">
        <v>37500</v>
      </c>
      <c r="K345" s="351">
        <v>14400</v>
      </c>
      <c r="L345" s="30">
        <v>72600</v>
      </c>
      <c r="M345" s="386">
        <v>181165.6</v>
      </c>
      <c r="N345" s="421">
        <v>4600</v>
      </c>
      <c r="O345" s="30">
        <v>13100</v>
      </c>
      <c r="P345" s="30">
        <v>15500</v>
      </c>
      <c r="Q345" s="30">
        <v>154600</v>
      </c>
      <c r="R345" s="30">
        <v>47100</v>
      </c>
    </row>
    <row r="346" spans="1:18" x14ac:dyDescent="0.35">
      <c r="A346" s="121">
        <v>42736</v>
      </c>
      <c r="B346" s="207">
        <v>40300</v>
      </c>
      <c r="C346" s="240">
        <v>29700</v>
      </c>
      <c r="D346" s="30">
        <v>9400</v>
      </c>
      <c r="E346" s="1">
        <v>43238</v>
      </c>
      <c r="F346" s="30">
        <v>47000</v>
      </c>
      <c r="G346" s="2">
        <v>139900</v>
      </c>
      <c r="H346" s="30">
        <v>428300</v>
      </c>
      <c r="I346" s="277">
        <v>7500</v>
      </c>
      <c r="J346" s="314">
        <v>14200</v>
      </c>
      <c r="K346" s="351">
        <v>24300</v>
      </c>
      <c r="L346" s="30">
        <v>52000</v>
      </c>
      <c r="M346" s="386">
        <v>51013.600000000006</v>
      </c>
      <c r="N346" s="421">
        <v>2000</v>
      </c>
      <c r="O346" s="30">
        <v>10300</v>
      </c>
      <c r="P346" s="30">
        <v>8000</v>
      </c>
      <c r="Q346" s="30">
        <v>67000</v>
      </c>
      <c r="R346" s="30">
        <v>30500</v>
      </c>
    </row>
    <row r="347" spans="1:18" x14ac:dyDescent="0.35">
      <c r="A347" s="121">
        <v>42767</v>
      </c>
      <c r="B347" s="207">
        <v>21800</v>
      </c>
      <c r="C347" s="240">
        <v>82800</v>
      </c>
      <c r="D347" s="30">
        <v>13600</v>
      </c>
      <c r="E347" s="1">
        <v>50012.400000000023</v>
      </c>
      <c r="F347" s="30">
        <v>30000</v>
      </c>
      <c r="G347" s="2">
        <v>41600</v>
      </c>
      <c r="H347" s="30">
        <v>230800</v>
      </c>
      <c r="I347" s="277">
        <v>6100</v>
      </c>
      <c r="J347" s="314">
        <v>9100</v>
      </c>
      <c r="K347" s="351">
        <v>10400</v>
      </c>
      <c r="L347" s="30">
        <v>66200</v>
      </c>
      <c r="M347" s="386">
        <v>34557.599999999999</v>
      </c>
      <c r="N347" s="421">
        <v>1600</v>
      </c>
      <c r="O347" s="30">
        <v>2100</v>
      </c>
      <c r="P347" s="30">
        <v>5300</v>
      </c>
      <c r="Q347" s="30">
        <v>43000</v>
      </c>
      <c r="R347" s="30">
        <v>18900</v>
      </c>
    </row>
    <row r="348" spans="1:18" x14ac:dyDescent="0.35">
      <c r="A348" s="121">
        <v>42795</v>
      </c>
      <c r="B348" s="207">
        <v>52100</v>
      </c>
      <c r="C348" s="240">
        <v>144200</v>
      </c>
      <c r="D348" s="30">
        <v>237800</v>
      </c>
      <c r="E348" s="1">
        <v>400749.2</v>
      </c>
      <c r="F348" s="30">
        <v>155000</v>
      </c>
      <c r="G348" s="2">
        <v>417300</v>
      </c>
      <c r="H348" s="30">
        <v>1261400</v>
      </c>
      <c r="I348" s="277">
        <v>28300</v>
      </c>
      <c r="J348" s="314">
        <v>51400</v>
      </c>
      <c r="K348" s="351">
        <v>95800</v>
      </c>
      <c r="L348" s="30">
        <v>140300</v>
      </c>
      <c r="M348" s="386">
        <v>416037.6</v>
      </c>
      <c r="N348" s="421">
        <v>1300</v>
      </c>
      <c r="O348" s="30">
        <v>3900</v>
      </c>
      <c r="P348" s="30">
        <v>31800</v>
      </c>
      <c r="Q348" s="30">
        <v>225100</v>
      </c>
      <c r="R348" s="30">
        <v>92500</v>
      </c>
    </row>
    <row r="349" spans="1:18" x14ac:dyDescent="0.35">
      <c r="A349" s="121">
        <v>42826</v>
      </c>
      <c r="B349" s="210">
        <v>89100</v>
      </c>
      <c r="C349" s="243">
        <v>222900</v>
      </c>
      <c r="D349" s="28">
        <v>373700</v>
      </c>
      <c r="E349" s="1">
        <v>510723.20000000007</v>
      </c>
      <c r="F349" s="28">
        <v>240000</v>
      </c>
      <c r="G349" s="2">
        <v>901100</v>
      </c>
      <c r="H349" s="28">
        <v>3436900</v>
      </c>
      <c r="I349" s="280">
        <v>44700</v>
      </c>
      <c r="J349" s="318">
        <v>86100</v>
      </c>
      <c r="K349" s="355">
        <v>136800</v>
      </c>
      <c r="L349" s="28">
        <v>181600</v>
      </c>
      <c r="M349" s="389">
        <v>605954.80000000005</v>
      </c>
      <c r="N349" s="424">
        <v>8400</v>
      </c>
      <c r="O349" s="28">
        <v>1400</v>
      </c>
      <c r="P349" s="28">
        <v>57000</v>
      </c>
      <c r="Q349" s="28">
        <v>451900</v>
      </c>
      <c r="R349" s="28">
        <v>161800</v>
      </c>
    </row>
    <row r="350" spans="1:18" x14ac:dyDescent="0.35">
      <c r="A350" s="121">
        <v>42856</v>
      </c>
      <c r="B350" s="210">
        <v>132200</v>
      </c>
      <c r="C350" s="243">
        <v>227900</v>
      </c>
      <c r="D350" s="28">
        <v>453600</v>
      </c>
      <c r="E350" s="1">
        <v>977226.8</v>
      </c>
      <c r="F350" s="28">
        <v>333000</v>
      </c>
      <c r="G350" s="2">
        <v>1195800</v>
      </c>
      <c r="H350" s="28">
        <v>3580000</v>
      </c>
      <c r="I350" s="280">
        <v>84900</v>
      </c>
      <c r="J350" s="318">
        <v>81500</v>
      </c>
      <c r="K350" s="355">
        <v>127400</v>
      </c>
      <c r="L350" s="28">
        <v>334700</v>
      </c>
      <c r="M350" s="389">
        <v>968061.60000000009</v>
      </c>
      <c r="N350" s="424">
        <v>10200</v>
      </c>
      <c r="O350" s="28">
        <v>23500</v>
      </c>
      <c r="P350" s="28">
        <v>57100</v>
      </c>
      <c r="Q350" s="28">
        <v>475600</v>
      </c>
      <c r="R350" s="28">
        <v>174000</v>
      </c>
    </row>
    <row r="351" spans="1:18" x14ac:dyDescent="0.35">
      <c r="A351" s="121">
        <v>42887</v>
      </c>
      <c r="B351" s="210">
        <v>56900</v>
      </c>
      <c r="C351" s="243">
        <v>172800</v>
      </c>
      <c r="D351" s="28">
        <v>296500</v>
      </c>
      <c r="E351" s="1">
        <v>558002</v>
      </c>
      <c r="F351" s="28">
        <v>195000</v>
      </c>
      <c r="G351" s="2">
        <v>766300</v>
      </c>
      <c r="H351" s="28">
        <v>3007100</v>
      </c>
      <c r="I351" s="280">
        <v>49400</v>
      </c>
      <c r="J351" s="318">
        <v>38000</v>
      </c>
      <c r="K351" s="355">
        <v>75800</v>
      </c>
      <c r="L351" s="28">
        <v>308600</v>
      </c>
      <c r="M351" s="389">
        <v>697210.8</v>
      </c>
      <c r="N351" s="424">
        <v>6900</v>
      </c>
      <c r="O351" s="28">
        <v>51900</v>
      </c>
      <c r="P351" s="28">
        <v>39400</v>
      </c>
      <c r="Q351" s="28">
        <v>312000</v>
      </c>
      <c r="R351" s="28">
        <v>114600</v>
      </c>
    </row>
    <row r="352" spans="1:18" x14ac:dyDescent="0.35">
      <c r="A352" s="121">
        <v>42917</v>
      </c>
      <c r="B352" s="210">
        <v>111400</v>
      </c>
      <c r="C352" s="243">
        <v>208800</v>
      </c>
      <c r="D352" s="28">
        <v>435100</v>
      </c>
      <c r="E352" s="1">
        <v>565567.20000000007</v>
      </c>
      <c r="F352" s="28">
        <v>200000</v>
      </c>
      <c r="G352" s="2">
        <v>798300</v>
      </c>
      <c r="H352" s="28">
        <v>3105100</v>
      </c>
      <c r="I352" s="280">
        <v>62800</v>
      </c>
      <c r="J352" s="318">
        <v>69000</v>
      </c>
      <c r="K352" s="355">
        <v>101100</v>
      </c>
      <c r="L352" s="28">
        <v>366600</v>
      </c>
      <c r="M352" s="389">
        <v>744185.20000000007</v>
      </c>
      <c r="N352" s="424">
        <v>9200</v>
      </c>
      <c r="O352" s="28">
        <v>41600</v>
      </c>
      <c r="P352" s="28">
        <v>42900</v>
      </c>
      <c r="Q352" s="28">
        <v>390200</v>
      </c>
      <c r="R352" s="28">
        <v>110900</v>
      </c>
    </row>
    <row r="353" spans="1:18" x14ac:dyDescent="0.35">
      <c r="A353" s="121">
        <v>42948</v>
      </c>
      <c r="B353" s="210">
        <v>15500</v>
      </c>
      <c r="C353" s="243">
        <v>157000</v>
      </c>
      <c r="D353" s="28">
        <v>337400</v>
      </c>
      <c r="E353" s="1">
        <v>568514.40000000014</v>
      </c>
      <c r="F353" s="28">
        <v>151000</v>
      </c>
      <c r="G353" s="2">
        <v>796800</v>
      </c>
      <c r="H353" s="28">
        <v>2595500</v>
      </c>
      <c r="I353" s="280">
        <v>58900</v>
      </c>
      <c r="J353" s="318">
        <v>55900</v>
      </c>
      <c r="K353" s="355">
        <v>53400</v>
      </c>
      <c r="L353" s="28">
        <v>291900</v>
      </c>
      <c r="M353" s="389">
        <v>589424</v>
      </c>
      <c r="N353" s="424">
        <v>5100</v>
      </c>
      <c r="O353" s="28">
        <v>150900</v>
      </c>
      <c r="P353" s="28">
        <v>57300</v>
      </c>
      <c r="Q353" s="28">
        <v>343300</v>
      </c>
      <c r="R353" s="28">
        <v>69500</v>
      </c>
    </row>
    <row r="354" spans="1:18" x14ac:dyDescent="0.35">
      <c r="A354" s="121">
        <v>42979</v>
      </c>
      <c r="B354" s="210">
        <v>161000</v>
      </c>
      <c r="C354" s="243">
        <v>225400</v>
      </c>
      <c r="D354" s="28">
        <v>371600</v>
      </c>
      <c r="E354" s="1">
        <v>583102</v>
      </c>
      <c r="F354" s="28">
        <v>242000</v>
      </c>
      <c r="G354" s="2">
        <v>842500</v>
      </c>
      <c r="H354" s="28">
        <v>2536400</v>
      </c>
      <c r="I354" s="280">
        <v>52800</v>
      </c>
      <c r="J354" s="318">
        <v>58600</v>
      </c>
      <c r="K354" s="355">
        <v>78200</v>
      </c>
      <c r="L354" s="28">
        <v>341200</v>
      </c>
      <c r="M354" s="389">
        <v>534670.4</v>
      </c>
      <c r="N354" s="424">
        <v>13600</v>
      </c>
      <c r="O354" s="28">
        <v>38400</v>
      </c>
      <c r="P354" s="28">
        <v>55800</v>
      </c>
      <c r="Q354" s="28">
        <v>378700</v>
      </c>
      <c r="R354" s="28">
        <v>4800</v>
      </c>
    </row>
    <row r="355" spans="1:18" x14ac:dyDescent="0.35">
      <c r="A355" s="121">
        <v>43009</v>
      </c>
      <c r="B355" s="203">
        <v>67600</v>
      </c>
      <c r="C355" s="236">
        <v>330200</v>
      </c>
      <c r="D355" s="3">
        <v>478100</v>
      </c>
      <c r="E355" s="1">
        <v>641675.20000000007</v>
      </c>
      <c r="F355" s="3">
        <v>292000</v>
      </c>
      <c r="G355" s="2">
        <v>1111100</v>
      </c>
      <c r="H355" s="3">
        <v>3598900</v>
      </c>
      <c r="I355" s="274">
        <v>61400</v>
      </c>
      <c r="J355" s="310">
        <v>78600</v>
      </c>
      <c r="K355" s="347">
        <v>107000</v>
      </c>
      <c r="L355" s="3">
        <v>365900</v>
      </c>
      <c r="M355" s="382">
        <v>640961.20000000007</v>
      </c>
      <c r="N355" s="417">
        <v>16000</v>
      </c>
      <c r="O355" s="3">
        <v>87600</v>
      </c>
      <c r="P355" s="3">
        <v>61700</v>
      </c>
      <c r="Q355" s="3">
        <v>484100</v>
      </c>
      <c r="R355" s="3">
        <v>61500</v>
      </c>
    </row>
    <row r="356" spans="1:18" x14ac:dyDescent="0.35">
      <c r="A356" s="121">
        <v>43040</v>
      </c>
      <c r="B356" s="203">
        <v>93900</v>
      </c>
      <c r="C356" s="236">
        <v>177700</v>
      </c>
      <c r="D356" s="3">
        <v>246700</v>
      </c>
      <c r="E356" s="1">
        <v>386976.80000000005</v>
      </c>
      <c r="F356" s="3">
        <v>151000</v>
      </c>
      <c r="G356" s="2">
        <v>557100</v>
      </c>
      <c r="H356" s="3">
        <v>2085300</v>
      </c>
      <c r="I356" s="274">
        <v>42800</v>
      </c>
      <c r="J356" s="310">
        <v>45200</v>
      </c>
      <c r="K356" s="347">
        <v>65800</v>
      </c>
      <c r="L356" s="3">
        <v>159200</v>
      </c>
      <c r="M356" s="382">
        <v>258284.4</v>
      </c>
      <c r="N356" s="417">
        <v>7300</v>
      </c>
      <c r="O356" s="3">
        <v>112294</v>
      </c>
      <c r="P356" s="3">
        <v>29000</v>
      </c>
      <c r="Q356" s="3">
        <v>283000</v>
      </c>
      <c r="R356" s="3">
        <v>122731</v>
      </c>
    </row>
    <row r="357" spans="1:18" x14ac:dyDescent="0.35">
      <c r="A357" s="121">
        <v>43070</v>
      </c>
      <c r="B357" s="203">
        <v>16800</v>
      </c>
      <c r="C357" s="236">
        <v>291900</v>
      </c>
      <c r="D357" s="3">
        <v>246600</v>
      </c>
      <c r="E357" s="1">
        <v>669569.20000000007</v>
      </c>
      <c r="F357" s="3">
        <v>192000</v>
      </c>
      <c r="G357" s="2">
        <v>616217</v>
      </c>
      <c r="H357" s="3">
        <v>2389800</v>
      </c>
      <c r="I357" s="274">
        <v>71400</v>
      </c>
      <c r="J357" s="310">
        <v>58400</v>
      </c>
      <c r="K357" s="347">
        <v>89000</v>
      </c>
      <c r="L357" s="3">
        <v>191700</v>
      </c>
      <c r="M357" s="382">
        <v>533398.80000000005</v>
      </c>
      <c r="N357" s="417">
        <v>7900</v>
      </c>
      <c r="O357" s="3">
        <v>210027</v>
      </c>
      <c r="P357" s="3">
        <v>39000</v>
      </c>
      <c r="Q357" s="3">
        <v>363300</v>
      </c>
      <c r="R357" s="3">
        <v>235031</v>
      </c>
    </row>
    <row r="358" spans="1:18" x14ac:dyDescent="0.35">
      <c r="A358" s="121">
        <v>43101</v>
      </c>
      <c r="B358" s="203">
        <v>4600</v>
      </c>
      <c r="C358" s="236">
        <v>295800</v>
      </c>
      <c r="D358" s="3">
        <v>340800</v>
      </c>
      <c r="E358" s="1">
        <v>465715.20000000007</v>
      </c>
      <c r="F358" s="3">
        <v>188000</v>
      </c>
      <c r="G358" s="2">
        <v>799000</v>
      </c>
      <c r="H358" s="3">
        <v>2482900</v>
      </c>
      <c r="I358" s="274">
        <v>73800</v>
      </c>
      <c r="J358" s="310">
        <v>73900</v>
      </c>
      <c r="K358" s="347">
        <v>94600</v>
      </c>
      <c r="L358" s="3">
        <v>218800</v>
      </c>
      <c r="M358" s="382">
        <v>423966.4</v>
      </c>
      <c r="N358" s="417">
        <v>16500</v>
      </c>
      <c r="O358" s="3">
        <v>221551</v>
      </c>
      <c r="P358" s="3">
        <v>39800</v>
      </c>
      <c r="Q358" s="3">
        <v>382800</v>
      </c>
      <c r="R358" s="3">
        <v>331495</v>
      </c>
    </row>
    <row r="359" spans="1:18" x14ac:dyDescent="0.35">
      <c r="A359" s="121">
        <v>43132</v>
      </c>
      <c r="B359" s="203">
        <v>116371</v>
      </c>
      <c r="C359" s="236">
        <v>203100</v>
      </c>
      <c r="D359" s="3">
        <v>348000</v>
      </c>
      <c r="E359" s="1">
        <v>508521.20000000007</v>
      </c>
      <c r="F359" s="3">
        <v>174000</v>
      </c>
      <c r="G359" s="2">
        <v>879377</v>
      </c>
      <c r="H359" s="3">
        <v>2272200</v>
      </c>
      <c r="I359" s="274">
        <v>65600</v>
      </c>
      <c r="J359" s="310">
        <v>62700</v>
      </c>
      <c r="K359" s="347">
        <v>79900</v>
      </c>
      <c r="L359" s="3">
        <v>244100</v>
      </c>
      <c r="M359" s="382">
        <v>427556.80000000005</v>
      </c>
      <c r="N359" s="417">
        <v>11400</v>
      </c>
      <c r="O359" s="3">
        <v>205976</v>
      </c>
      <c r="P359" s="3">
        <v>36400</v>
      </c>
      <c r="Q359" s="3">
        <v>335800</v>
      </c>
      <c r="R359" s="3">
        <v>311267</v>
      </c>
    </row>
    <row r="360" spans="1:18" x14ac:dyDescent="0.35">
      <c r="A360" s="121">
        <v>43160</v>
      </c>
      <c r="B360" s="203">
        <v>93525</v>
      </c>
      <c r="C360" s="236">
        <v>37300</v>
      </c>
      <c r="D360" s="3">
        <v>120900</v>
      </c>
      <c r="E360" s="1">
        <v>99166.400000000023</v>
      </c>
      <c r="F360" s="3">
        <v>76000</v>
      </c>
      <c r="G360" s="2">
        <v>233970</v>
      </c>
      <c r="H360" s="3">
        <v>884800</v>
      </c>
      <c r="I360" s="274">
        <v>25300</v>
      </c>
      <c r="J360" s="310">
        <v>21300</v>
      </c>
      <c r="K360" s="347">
        <v>26700</v>
      </c>
      <c r="L360" s="3">
        <v>47800</v>
      </c>
      <c r="M360" s="382">
        <v>58194.400000000001</v>
      </c>
      <c r="N360" s="417">
        <v>3600</v>
      </c>
      <c r="O360" s="3">
        <v>69500</v>
      </c>
      <c r="P360" s="3">
        <v>10900</v>
      </c>
      <c r="Q360" s="3">
        <v>108600</v>
      </c>
      <c r="R360" s="3">
        <v>64645</v>
      </c>
    </row>
    <row r="361" spans="1:18" x14ac:dyDescent="0.35">
      <c r="A361" s="121">
        <v>43191</v>
      </c>
      <c r="B361" s="211">
        <v>411392</v>
      </c>
      <c r="C361" s="244">
        <v>195000</v>
      </c>
      <c r="D361" s="36">
        <v>474200</v>
      </c>
      <c r="E361" s="1">
        <v>616364</v>
      </c>
      <c r="F361" s="36">
        <v>202000</v>
      </c>
      <c r="G361" s="2">
        <v>1126968</v>
      </c>
      <c r="H361" s="36">
        <v>2892400</v>
      </c>
      <c r="I361" s="275">
        <v>72700</v>
      </c>
      <c r="J361" s="311">
        <v>67600</v>
      </c>
      <c r="K361" s="348">
        <v>86900</v>
      </c>
      <c r="L361" s="36">
        <v>231000</v>
      </c>
      <c r="M361" s="390">
        <v>605954.80000000005</v>
      </c>
      <c r="N361" s="425">
        <v>12200</v>
      </c>
      <c r="O361" s="36">
        <v>249695</v>
      </c>
      <c r="P361" s="36">
        <v>51700</v>
      </c>
      <c r="Q361" s="36">
        <v>474200</v>
      </c>
      <c r="R361" s="36">
        <v>336112</v>
      </c>
    </row>
    <row r="362" spans="1:18" x14ac:dyDescent="0.35">
      <c r="A362" s="121">
        <v>43221</v>
      </c>
      <c r="B362" s="211">
        <v>515771</v>
      </c>
      <c r="C362" s="244">
        <v>176600</v>
      </c>
      <c r="D362" s="36">
        <v>300100</v>
      </c>
      <c r="E362" s="1">
        <v>579775.20000000007</v>
      </c>
      <c r="F362" s="36">
        <v>149900</v>
      </c>
      <c r="G362" s="2">
        <v>1016742</v>
      </c>
      <c r="H362" s="36">
        <v>2745400</v>
      </c>
      <c r="I362" s="275">
        <v>63500</v>
      </c>
      <c r="J362" s="311">
        <v>66000</v>
      </c>
      <c r="K362" s="348">
        <v>92900</v>
      </c>
      <c r="L362" s="36">
        <v>194500</v>
      </c>
      <c r="M362" s="390">
        <v>579999.20000000007</v>
      </c>
      <c r="N362" s="425">
        <v>10100</v>
      </c>
      <c r="O362" s="36">
        <v>189301</v>
      </c>
      <c r="P362" s="36">
        <v>47300</v>
      </c>
      <c r="Q362" s="36">
        <v>376300</v>
      </c>
      <c r="R362" s="36">
        <v>217332</v>
      </c>
    </row>
    <row r="363" spans="1:18" x14ac:dyDescent="0.35">
      <c r="A363" s="121">
        <v>43252</v>
      </c>
      <c r="B363" s="211">
        <v>388923</v>
      </c>
      <c r="C363" s="244">
        <v>179900</v>
      </c>
      <c r="D363" s="36">
        <v>239900</v>
      </c>
      <c r="E363" s="1">
        <v>561490.80000000005</v>
      </c>
      <c r="F363" s="36">
        <v>19800</v>
      </c>
      <c r="G363" s="2">
        <v>873181</v>
      </c>
      <c r="H363" s="36">
        <v>3142500</v>
      </c>
      <c r="I363" s="275">
        <v>59800</v>
      </c>
      <c r="J363" s="311">
        <v>55800</v>
      </c>
      <c r="K363" s="348">
        <v>86000</v>
      </c>
      <c r="L363" s="36">
        <v>204700</v>
      </c>
      <c r="M363" s="390">
        <v>556960.80000000005</v>
      </c>
      <c r="N363" s="425">
        <v>9400</v>
      </c>
      <c r="O363" s="36">
        <v>174084</v>
      </c>
      <c r="P363" s="36">
        <v>39700</v>
      </c>
      <c r="Q363" s="36">
        <v>354400</v>
      </c>
      <c r="R363" s="36">
        <v>152523</v>
      </c>
    </row>
    <row r="364" spans="1:18" x14ac:dyDescent="0.35">
      <c r="A364" s="121">
        <v>43282</v>
      </c>
      <c r="B364" s="211">
        <v>543550</v>
      </c>
      <c r="C364" s="244">
        <v>303700</v>
      </c>
      <c r="D364" s="36">
        <v>387100</v>
      </c>
      <c r="E364" s="1">
        <v>785768.4</v>
      </c>
      <c r="F364" s="36">
        <v>25300</v>
      </c>
      <c r="G364" s="2">
        <v>1203586</v>
      </c>
      <c r="H364" s="36">
        <v>4036800</v>
      </c>
      <c r="I364" s="275">
        <v>59400</v>
      </c>
      <c r="J364" s="311">
        <v>79100</v>
      </c>
      <c r="K364" s="348">
        <v>110400</v>
      </c>
      <c r="L364" s="36">
        <v>326200</v>
      </c>
      <c r="M364" s="390">
        <v>809485.60000000009</v>
      </c>
      <c r="N364" s="425">
        <v>12100</v>
      </c>
      <c r="O364" s="36">
        <v>236078</v>
      </c>
      <c r="P364" s="36">
        <v>49100</v>
      </c>
      <c r="Q364" s="36">
        <v>532500</v>
      </c>
      <c r="R364" s="36">
        <v>309227</v>
      </c>
    </row>
    <row r="365" spans="1:18" x14ac:dyDescent="0.35">
      <c r="A365" s="121">
        <v>43313</v>
      </c>
      <c r="B365" s="211">
        <v>414216</v>
      </c>
      <c r="C365" s="244">
        <v>295250</v>
      </c>
      <c r="D365" s="36">
        <v>410650</v>
      </c>
      <c r="E365" s="1">
        <v>728556.8</v>
      </c>
      <c r="F365" s="36">
        <v>30400</v>
      </c>
      <c r="G365" s="2">
        <v>1099525</v>
      </c>
      <c r="H365" s="36">
        <v>3067750</v>
      </c>
      <c r="I365" s="275">
        <v>75100</v>
      </c>
      <c r="J365" s="311">
        <v>83300</v>
      </c>
      <c r="K365" s="348">
        <v>103950</v>
      </c>
      <c r="L365" s="36">
        <v>251900</v>
      </c>
      <c r="M365" s="390">
        <v>714040.8</v>
      </c>
      <c r="N365" s="425">
        <v>12600</v>
      </c>
      <c r="O365" s="36">
        <v>240670</v>
      </c>
      <c r="P365" s="36">
        <v>39750</v>
      </c>
      <c r="Q365" s="36">
        <v>439850</v>
      </c>
      <c r="R365" s="36">
        <v>198352</v>
      </c>
    </row>
    <row r="366" spans="1:18" x14ac:dyDescent="0.35">
      <c r="A366" s="121">
        <v>43344</v>
      </c>
      <c r="B366" s="211">
        <v>326007</v>
      </c>
      <c r="C366" s="244">
        <v>213750</v>
      </c>
      <c r="D366" s="36">
        <v>576150</v>
      </c>
      <c r="E366" s="1">
        <v>506184.4</v>
      </c>
      <c r="F366" s="36">
        <v>26000</v>
      </c>
      <c r="G366" s="2">
        <v>940902</v>
      </c>
      <c r="H366" s="36">
        <v>2555650</v>
      </c>
      <c r="I366" s="275">
        <v>71100</v>
      </c>
      <c r="J366" s="311">
        <v>84800</v>
      </c>
      <c r="K366" s="348">
        <v>83350</v>
      </c>
      <c r="L366" s="36">
        <v>258400</v>
      </c>
      <c r="M366" s="390">
        <v>521430.80000000005</v>
      </c>
      <c r="N366" s="425">
        <v>12700</v>
      </c>
      <c r="O366" s="36">
        <v>240986</v>
      </c>
      <c r="P366" s="36">
        <v>43050</v>
      </c>
      <c r="Q366" s="36">
        <v>428450</v>
      </c>
      <c r="R366" s="36">
        <v>193075</v>
      </c>
    </row>
    <row r="367" spans="1:18" x14ac:dyDescent="0.35">
      <c r="A367" s="123">
        <v>43374</v>
      </c>
      <c r="B367" s="212">
        <v>274045</v>
      </c>
      <c r="C367" s="245">
        <v>242700</v>
      </c>
      <c r="D367" s="37">
        <v>523800</v>
      </c>
      <c r="E367" s="38">
        <v>602629.6</v>
      </c>
      <c r="F367" s="37">
        <v>28900</v>
      </c>
      <c r="G367" s="2">
        <v>920720</v>
      </c>
      <c r="H367" s="37">
        <v>3033200</v>
      </c>
      <c r="I367" s="282">
        <v>99400</v>
      </c>
      <c r="J367" s="320">
        <v>85900</v>
      </c>
      <c r="K367" s="357">
        <v>90500</v>
      </c>
      <c r="L367" s="37">
        <v>269300</v>
      </c>
      <c r="M367" s="391">
        <v>599970.80000000005</v>
      </c>
      <c r="N367" s="426">
        <v>14600</v>
      </c>
      <c r="O367" s="37">
        <v>261837</v>
      </c>
      <c r="P367" s="37">
        <v>67000</v>
      </c>
      <c r="Q367" s="37">
        <v>334400</v>
      </c>
      <c r="R367" s="37">
        <v>184325</v>
      </c>
    </row>
    <row r="368" spans="1:18" x14ac:dyDescent="0.35">
      <c r="A368" s="123">
        <v>43405</v>
      </c>
      <c r="B368" s="212">
        <v>143600</v>
      </c>
      <c r="C368" s="245">
        <v>126400</v>
      </c>
      <c r="D368" s="37">
        <v>344000</v>
      </c>
      <c r="E368" s="38">
        <v>342913.20000000007</v>
      </c>
      <c r="F368" s="37">
        <v>16500</v>
      </c>
      <c r="G368" s="2">
        <v>636262</v>
      </c>
      <c r="H368" s="37">
        <v>1258000</v>
      </c>
      <c r="I368" s="281">
        <v>58000</v>
      </c>
      <c r="J368" s="319">
        <v>86800</v>
      </c>
      <c r="K368" s="356">
        <v>42600</v>
      </c>
      <c r="L368" s="37">
        <v>122300</v>
      </c>
      <c r="M368" s="391">
        <v>443489.2</v>
      </c>
      <c r="N368" s="426">
        <v>3100</v>
      </c>
      <c r="O368" s="37">
        <v>186703</v>
      </c>
      <c r="P368" s="37">
        <v>40000</v>
      </c>
      <c r="Q368" s="37">
        <v>245600</v>
      </c>
      <c r="R368" s="37">
        <v>225223</v>
      </c>
    </row>
    <row r="369" spans="1:18" x14ac:dyDescent="0.35">
      <c r="A369" s="123">
        <v>43435</v>
      </c>
      <c r="B369" s="212">
        <v>54900</v>
      </c>
      <c r="C369" s="245">
        <v>98100</v>
      </c>
      <c r="D369" s="37">
        <v>222200</v>
      </c>
      <c r="E369" s="38">
        <v>57280</v>
      </c>
      <c r="F369" s="37">
        <v>12900</v>
      </c>
      <c r="G369" s="2">
        <v>239585</v>
      </c>
      <c r="H369" s="37">
        <v>1687700</v>
      </c>
      <c r="I369" s="281">
        <v>38700</v>
      </c>
      <c r="J369" s="319">
        <v>72400</v>
      </c>
      <c r="K369" s="356">
        <v>26200</v>
      </c>
      <c r="L369" s="37">
        <v>117100</v>
      </c>
      <c r="M369" s="391">
        <v>46470</v>
      </c>
      <c r="N369" s="426">
        <v>0</v>
      </c>
      <c r="O369" s="37">
        <v>203862</v>
      </c>
      <c r="P369" s="37">
        <v>47700</v>
      </c>
      <c r="Q369" s="37">
        <v>281500</v>
      </c>
      <c r="R369" s="37">
        <v>218694</v>
      </c>
    </row>
    <row r="370" spans="1:18" x14ac:dyDescent="0.35">
      <c r="A370" s="123">
        <v>43466</v>
      </c>
      <c r="B370" s="212">
        <v>24300</v>
      </c>
      <c r="C370" s="245">
        <v>69600</v>
      </c>
      <c r="D370" s="37">
        <v>174300</v>
      </c>
      <c r="E370" s="38">
        <v>158424.80000000002</v>
      </c>
      <c r="F370" s="37">
        <v>5400</v>
      </c>
      <c r="G370" s="2">
        <v>192560</v>
      </c>
      <c r="H370" s="37">
        <v>767300</v>
      </c>
      <c r="I370" s="281">
        <v>14300</v>
      </c>
      <c r="J370" s="319">
        <v>5700</v>
      </c>
      <c r="K370" s="356">
        <v>4300</v>
      </c>
      <c r="L370" s="37">
        <v>32100</v>
      </c>
      <c r="M370" s="391">
        <v>105393.20000000001</v>
      </c>
      <c r="N370" s="426">
        <v>0</v>
      </c>
      <c r="O370" s="37">
        <v>66587</v>
      </c>
      <c r="P370" s="37">
        <v>8800</v>
      </c>
      <c r="Q370" s="37">
        <v>73800</v>
      </c>
      <c r="R370" s="37">
        <v>104635</v>
      </c>
    </row>
    <row r="371" spans="1:18" x14ac:dyDescent="0.35">
      <c r="A371" s="123">
        <v>43497</v>
      </c>
      <c r="B371" s="214">
        <v>12410</v>
      </c>
      <c r="C371" s="247">
        <v>46300</v>
      </c>
      <c r="D371" s="39">
        <v>65900</v>
      </c>
      <c r="E371" s="38">
        <v>157068.80000000002</v>
      </c>
      <c r="F371" s="39">
        <v>5200</v>
      </c>
      <c r="G371" s="2">
        <v>294588</v>
      </c>
      <c r="H371" s="39">
        <v>728700</v>
      </c>
      <c r="I371" s="283">
        <v>4700</v>
      </c>
      <c r="J371" s="321">
        <v>200</v>
      </c>
      <c r="K371" s="358">
        <v>0</v>
      </c>
      <c r="L371" s="39">
        <v>18900</v>
      </c>
      <c r="M371" s="393">
        <v>32388.399999999998</v>
      </c>
      <c r="N371" s="428">
        <v>0</v>
      </c>
      <c r="O371" s="39">
        <v>64224</v>
      </c>
      <c r="P371" s="39">
        <v>800</v>
      </c>
      <c r="Q371" s="39">
        <v>53300</v>
      </c>
      <c r="R371" s="39">
        <v>23891</v>
      </c>
    </row>
    <row r="372" spans="1:18" x14ac:dyDescent="0.35">
      <c r="A372" s="123">
        <v>43525</v>
      </c>
      <c r="B372" s="213">
        <v>18110</v>
      </c>
      <c r="C372" s="246">
        <v>72600</v>
      </c>
      <c r="D372" s="37">
        <v>97000</v>
      </c>
      <c r="E372" s="38">
        <v>279887.20000000007</v>
      </c>
      <c r="F372" s="37">
        <v>6900</v>
      </c>
      <c r="G372" s="2">
        <v>412220</v>
      </c>
      <c r="H372" s="37">
        <v>849300</v>
      </c>
      <c r="I372" s="282">
        <v>15600</v>
      </c>
      <c r="J372" s="320">
        <v>19700</v>
      </c>
      <c r="K372" s="357">
        <v>10500</v>
      </c>
      <c r="L372" s="37">
        <v>57300</v>
      </c>
      <c r="M372" s="392">
        <v>273020</v>
      </c>
      <c r="N372" s="427">
        <v>0</v>
      </c>
      <c r="O372" s="37">
        <v>137555</v>
      </c>
      <c r="P372" s="37">
        <v>12600</v>
      </c>
      <c r="Q372" s="37">
        <v>135100</v>
      </c>
      <c r="R372" s="37">
        <v>40059</v>
      </c>
    </row>
    <row r="373" spans="1:18" x14ac:dyDescent="0.35">
      <c r="A373" s="123">
        <v>43556</v>
      </c>
      <c r="B373" s="214">
        <v>58990</v>
      </c>
      <c r="C373" s="247">
        <v>250100</v>
      </c>
      <c r="D373" s="39">
        <v>402000</v>
      </c>
      <c r="E373" s="38">
        <v>822627.20000000007</v>
      </c>
      <c r="F373" s="39">
        <v>25800</v>
      </c>
      <c r="G373" s="2">
        <v>1046159</v>
      </c>
      <c r="H373" s="39">
        <v>2437000</v>
      </c>
      <c r="I373" s="283">
        <v>47740</v>
      </c>
      <c r="J373" s="321">
        <v>136500</v>
      </c>
      <c r="K373" s="358">
        <v>77000</v>
      </c>
      <c r="L373" s="39">
        <v>305900</v>
      </c>
      <c r="M373" s="393">
        <v>767074.00000000012</v>
      </c>
      <c r="N373" s="428">
        <v>11300</v>
      </c>
      <c r="O373" s="39">
        <v>247414</v>
      </c>
      <c r="P373" s="39">
        <v>63000</v>
      </c>
      <c r="Q373" s="39">
        <v>342500</v>
      </c>
      <c r="R373" s="39">
        <v>297571</v>
      </c>
    </row>
    <row r="374" spans="1:18" x14ac:dyDescent="0.35">
      <c r="A374" s="123">
        <v>43586</v>
      </c>
      <c r="B374" s="213">
        <v>51700</v>
      </c>
      <c r="C374" s="246">
        <v>300700</v>
      </c>
      <c r="D374" s="37">
        <v>407400</v>
      </c>
      <c r="E374" s="38">
        <v>544324.80000000005</v>
      </c>
      <c r="F374" s="37">
        <v>20600</v>
      </c>
      <c r="G374" s="2">
        <v>659460</v>
      </c>
      <c r="H374" s="37">
        <v>1956600</v>
      </c>
      <c r="I374" s="282">
        <v>65360</v>
      </c>
      <c r="J374" s="320">
        <v>111000</v>
      </c>
      <c r="K374" s="357">
        <v>71700</v>
      </c>
      <c r="L374" s="37">
        <v>183500</v>
      </c>
      <c r="M374" s="392">
        <v>368988.4</v>
      </c>
      <c r="N374" s="427">
        <v>10400</v>
      </c>
      <c r="O374" s="37">
        <v>163383</v>
      </c>
      <c r="P374" s="37">
        <v>48200</v>
      </c>
      <c r="Q374" s="37">
        <v>224000</v>
      </c>
      <c r="R374" s="37">
        <v>206667</v>
      </c>
    </row>
    <row r="375" spans="1:18" x14ac:dyDescent="0.35">
      <c r="A375" s="123">
        <v>43617</v>
      </c>
      <c r="B375" s="213">
        <v>130890</v>
      </c>
      <c r="C375" s="246">
        <v>135200</v>
      </c>
      <c r="D375" s="37">
        <v>407600</v>
      </c>
      <c r="E375" s="38">
        <v>552336.00000000012</v>
      </c>
      <c r="F375" s="37">
        <v>21900</v>
      </c>
      <c r="G375" s="2">
        <v>696420</v>
      </c>
      <c r="H375" s="37">
        <v>2558800</v>
      </c>
      <c r="I375" s="282">
        <v>42200</v>
      </c>
      <c r="J375" s="320">
        <v>128000</v>
      </c>
      <c r="K375" s="357">
        <v>54800</v>
      </c>
      <c r="L375" s="37">
        <v>247200</v>
      </c>
      <c r="M375" s="392">
        <v>436682.4</v>
      </c>
      <c r="N375" s="427">
        <v>10100</v>
      </c>
      <c r="O375" s="37">
        <v>209544</v>
      </c>
      <c r="P375" s="37">
        <v>39700</v>
      </c>
      <c r="Q375" s="37">
        <v>252100</v>
      </c>
      <c r="R375" s="37">
        <v>104479</v>
      </c>
    </row>
    <row r="376" spans="1:18" x14ac:dyDescent="0.35">
      <c r="A376" s="123">
        <v>43647</v>
      </c>
      <c r="B376" s="212">
        <v>184980</v>
      </c>
      <c r="C376" s="245">
        <v>129000</v>
      </c>
      <c r="D376" s="37">
        <v>561200</v>
      </c>
      <c r="E376" s="38">
        <v>870980.4</v>
      </c>
      <c r="F376" s="37">
        <v>34300</v>
      </c>
      <c r="G376" s="2">
        <v>1002975</v>
      </c>
      <c r="H376" s="37">
        <v>3119200</v>
      </c>
      <c r="I376" s="281">
        <v>58200</v>
      </c>
      <c r="J376" s="319">
        <v>171700</v>
      </c>
      <c r="K376" s="356">
        <v>177800</v>
      </c>
      <c r="L376" s="37">
        <v>311100</v>
      </c>
      <c r="M376" s="391">
        <v>903808.39999999991</v>
      </c>
      <c r="N376" s="426">
        <v>7600</v>
      </c>
      <c r="O376" s="37">
        <v>270905</v>
      </c>
      <c r="P376" s="37">
        <v>54000</v>
      </c>
      <c r="Q376" s="37">
        <v>352500</v>
      </c>
      <c r="R376" s="37">
        <v>169627</v>
      </c>
    </row>
    <row r="377" spans="1:18" x14ac:dyDescent="0.35">
      <c r="A377" s="123">
        <v>43678</v>
      </c>
      <c r="B377" s="212">
        <v>150050</v>
      </c>
      <c r="C377" s="245">
        <v>88120</v>
      </c>
      <c r="D377" s="37">
        <v>509600</v>
      </c>
      <c r="E377" s="38">
        <v>832348</v>
      </c>
      <c r="F377" s="37">
        <v>31200</v>
      </c>
      <c r="G377" s="2">
        <v>1036071</v>
      </c>
      <c r="H377" s="37">
        <v>3316200</v>
      </c>
      <c r="I377" s="281">
        <v>50100</v>
      </c>
      <c r="J377" s="319">
        <v>132500</v>
      </c>
      <c r="K377" s="356">
        <v>98800</v>
      </c>
      <c r="L377" s="37">
        <v>237100</v>
      </c>
      <c r="M377" s="391">
        <v>556437.19999999995</v>
      </c>
      <c r="N377" s="426">
        <v>8200</v>
      </c>
      <c r="O377" s="37">
        <v>287104</v>
      </c>
      <c r="P377" s="37">
        <v>56000</v>
      </c>
      <c r="Q377" s="37">
        <v>368400</v>
      </c>
      <c r="R377" s="37">
        <v>176612</v>
      </c>
    </row>
    <row r="378" spans="1:18" x14ac:dyDescent="0.35">
      <c r="A378" s="123">
        <v>43709</v>
      </c>
      <c r="B378" s="212">
        <v>162406</v>
      </c>
      <c r="C378" s="245">
        <v>93815</v>
      </c>
      <c r="D378" s="37">
        <v>672500</v>
      </c>
      <c r="E378" s="37">
        <v>732245.20000000007</v>
      </c>
      <c r="F378" s="37">
        <v>27500</v>
      </c>
      <c r="G378" s="2">
        <v>1207499</v>
      </c>
      <c r="H378" s="37">
        <v>3362700</v>
      </c>
      <c r="I378" s="281">
        <v>84900</v>
      </c>
      <c r="J378" s="319">
        <v>178000</v>
      </c>
      <c r="K378" s="356">
        <v>53300</v>
      </c>
      <c r="L378" s="37">
        <v>342100</v>
      </c>
      <c r="M378" s="391">
        <v>585310</v>
      </c>
      <c r="N378" s="426">
        <v>10900</v>
      </c>
      <c r="O378" s="37">
        <v>239348</v>
      </c>
      <c r="P378" s="37">
        <v>59600</v>
      </c>
      <c r="Q378" s="37">
        <v>529000</v>
      </c>
      <c r="R378" s="37">
        <v>224382</v>
      </c>
    </row>
    <row r="379" spans="1:18" x14ac:dyDescent="0.35">
      <c r="A379" s="123">
        <v>43739</v>
      </c>
      <c r="B379" s="183">
        <v>111444</v>
      </c>
      <c r="C379" s="216">
        <v>111165</v>
      </c>
      <c r="D379" s="3">
        <v>385400</v>
      </c>
      <c r="E379" s="3">
        <v>642381.6</v>
      </c>
      <c r="F379" s="3">
        <v>24500</v>
      </c>
      <c r="G379" s="3">
        <v>842286</v>
      </c>
      <c r="H379" s="3">
        <v>2580200</v>
      </c>
      <c r="I379" s="249">
        <v>60300</v>
      </c>
      <c r="J379" s="285">
        <v>54500</v>
      </c>
      <c r="K379" s="323">
        <v>74800</v>
      </c>
      <c r="L379" s="3">
        <v>205500</v>
      </c>
      <c r="M379" s="360">
        <v>458673.60000000009</v>
      </c>
      <c r="N379" s="395">
        <v>5800</v>
      </c>
      <c r="O379" s="3">
        <v>183023</v>
      </c>
      <c r="P379" s="3">
        <v>36900</v>
      </c>
      <c r="Q379" s="3">
        <v>334000</v>
      </c>
      <c r="R379" s="3">
        <v>113385</v>
      </c>
    </row>
    <row r="380" spans="1:18" x14ac:dyDescent="0.35">
      <c r="A380" s="123">
        <v>43770</v>
      </c>
      <c r="B380" s="183">
        <v>146588</v>
      </c>
      <c r="C380" s="216">
        <v>131000</v>
      </c>
      <c r="D380" s="3">
        <v>342600</v>
      </c>
      <c r="E380" s="3">
        <v>461661.20000000007</v>
      </c>
      <c r="F380" s="3">
        <v>19700</v>
      </c>
      <c r="G380" s="3">
        <v>809847</v>
      </c>
      <c r="H380" s="3">
        <v>1982400</v>
      </c>
      <c r="I380" s="249">
        <v>44900</v>
      </c>
      <c r="J380" s="285">
        <v>38000</v>
      </c>
      <c r="K380" s="323">
        <v>42200</v>
      </c>
      <c r="L380" s="3">
        <v>133400</v>
      </c>
      <c r="M380" s="360">
        <v>372653.6</v>
      </c>
      <c r="N380" s="395">
        <v>3900</v>
      </c>
      <c r="O380" s="3">
        <v>153186</v>
      </c>
      <c r="P380" s="3">
        <v>49200</v>
      </c>
      <c r="Q380" s="3">
        <v>325800</v>
      </c>
      <c r="R380" s="3">
        <v>44278</v>
      </c>
    </row>
    <row r="381" spans="1:18" x14ac:dyDescent="0.35">
      <c r="A381" s="123">
        <v>43800</v>
      </c>
      <c r="B381" s="183">
        <v>86190</v>
      </c>
      <c r="C381" s="216">
        <v>68400</v>
      </c>
      <c r="D381" s="3">
        <v>130500</v>
      </c>
      <c r="E381" s="3">
        <v>341689.60000000003</v>
      </c>
      <c r="F381" s="3">
        <v>9200</v>
      </c>
      <c r="G381" s="3">
        <v>258945</v>
      </c>
      <c r="H381" s="3">
        <v>925700</v>
      </c>
      <c r="I381" s="249">
        <v>40600</v>
      </c>
      <c r="J381" s="285">
        <v>14600</v>
      </c>
      <c r="K381" s="323">
        <v>0</v>
      </c>
      <c r="L381" s="3">
        <v>38200</v>
      </c>
      <c r="M381" s="360">
        <v>97838.400000000009</v>
      </c>
      <c r="N381" s="395">
        <v>3600</v>
      </c>
      <c r="O381" s="3">
        <v>93519</v>
      </c>
      <c r="P381" s="3">
        <v>51700</v>
      </c>
      <c r="Q381" s="3">
        <v>196300</v>
      </c>
      <c r="R381" s="3">
        <v>45320</v>
      </c>
    </row>
    <row r="382" spans="1:18" x14ac:dyDescent="0.35">
      <c r="A382" s="123">
        <v>43831</v>
      </c>
      <c r="B382" s="183">
        <v>84200</v>
      </c>
      <c r="C382" s="216">
        <v>102600</v>
      </c>
      <c r="D382" s="3">
        <v>229500</v>
      </c>
      <c r="E382" s="3">
        <v>245335.60000000003</v>
      </c>
      <c r="F382" s="3">
        <v>13000</v>
      </c>
      <c r="G382" s="3">
        <v>430396</v>
      </c>
      <c r="H382" s="3">
        <v>887300</v>
      </c>
      <c r="I382" s="249">
        <v>60900</v>
      </c>
      <c r="J382" s="285">
        <v>26100</v>
      </c>
      <c r="K382" s="323">
        <v>0</v>
      </c>
      <c r="L382" s="3">
        <v>77200</v>
      </c>
      <c r="M382" s="360">
        <v>160371.20000000001</v>
      </c>
      <c r="N382" s="395">
        <v>1100</v>
      </c>
      <c r="O382" s="3">
        <v>47361</v>
      </c>
      <c r="P382" s="3">
        <v>81800</v>
      </c>
      <c r="Q382" s="3">
        <v>291600</v>
      </c>
      <c r="R382" s="3">
        <v>43360</v>
      </c>
    </row>
    <row r="383" spans="1:18" x14ac:dyDescent="0.35">
      <c r="A383" s="123">
        <v>43862</v>
      </c>
      <c r="B383" s="183">
        <v>159380</v>
      </c>
      <c r="C383" s="216">
        <v>118200</v>
      </c>
      <c r="D383" s="3">
        <v>171100</v>
      </c>
      <c r="E383" s="3">
        <v>418756.80000000005</v>
      </c>
      <c r="F383" s="3">
        <v>8600</v>
      </c>
      <c r="G383" s="3">
        <v>509516</v>
      </c>
      <c r="H383" s="3">
        <v>964400</v>
      </c>
      <c r="I383" s="249">
        <v>64800</v>
      </c>
      <c r="J383" s="285">
        <v>37300</v>
      </c>
      <c r="K383" s="323">
        <v>0</v>
      </c>
      <c r="L383" s="3">
        <v>71900</v>
      </c>
      <c r="M383" s="360">
        <v>261650.4</v>
      </c>
      <c r="N383" s="395">
        <v>7500</v>
      </c>
      <c r="O383" s="3">
        <v>98039</v>
      </c>
      <c r="P383" s="3">
        <v>76900</v>
      </c>
      <c r="Q383" s="3">
        <v>308300</v>
      </c>
      <c r="R383" s="3">
        <v>38900</v>
      </c>
    </row>
    <row r="384" spans="1:18" x14ac:dyDescent="0.35">
      <c r="A384" s="123">
        <v>43891</v>
      </c>
      <c r="B384" s="183">
        <v>165130</v>
      </c>
      <c r="C384" s="216">
        <v>94100</v>
      </c>
      <c r="D384" s="3">
        <v>155900</v>
      </c>
      <c r="E384" s="3">
        <v>337466.4</v>
      </c>
      <c r="F384" s="3">
        <v>9100</v>
      </c>
      <c r="G384" s="3">
        <v>474303</v>
      </c>
      <c r="H384" s="3">
        <v>896100</v>
      </c>
      <c r="I384" s="249">
        <v>38700</v>
      </c>
      <c r="J384" s="285">
        <v>22800</v>
      </c>
      <c r="K384" s="323">
        <v>17900</v>
      </c>
      <c r="L384" s="3">
        <v>61500</v>
      </c>
      <c r="M384" s="360">
        <v>279602.40000000002</v>
      </c>
      <c r="N384" s="395">
        <v>6200</v>
      </c>
      <c r="O384" s="3">
        <v>106989</v>
      </c>
      <c r="P384" s="3">
        <v>26600</v>
      </c>
      <c r="Q384" s="3">
        <v>179800</v>
      </c>
      <c r="R384" s="3">
        <v>39476</v>
      </c>
    </row>
    <row r="385" spans="1:18" x14ac:dyDescent="0.35">
      <c r="A385" s="123">
        <v>43922</v>
      </c>
      <c r="B385" s="183">
        <v>96740</v>
      </c>
      <c r="C385" s="216">
        <v>109300</v>
      </c>
      <c r="D385" s="3">
        <v>129300</v>
      </c>
      <c r="E385" s="3">
        <v>332351.59999999998</v>
      </c>
      <c r="F385" s="3">
        <v>10000</v>
      </c>
      <c r="G385" s="3">
        <v>578205</v>
      </c>
      <c r="H385" s="3">
        <v>811900</v>
      </c>
      <c r="I385" s="249">
        <v>39900</v>
      </c>
      <c r="J385" s="285">
        <v>18200</v>
      </c>
      <c r="K385" s="323">
        <v>100</v>
      </c>
      <c r="L385" s="3">
        <v>65600</v>
      </c>
      <c r="M385" s="360">
        <v>291548.59999999998</v>
      </c>
      <c r="N385" s="395">
        <v>3100</v>
      </c>
      <c r="O385" s="3">
        <v>60594</v>
      </c>
      <c r="P385" s="3">
        <v>54400</v>
      </c>
      <c r="Q385" s="3">
        <v>186000</v>
      </c>
      <c r="R385" s="3">
        <v>60924</v>
      </c>
    </row>
    <row r="386" spans="1:18" x14ac:dyDescent="0.35">
      <c r="A386" s="123">
        <v>43952</v>
      </c>
      <c r="B386" s="183">
        <v>239810</v>
      </c>
      <c r="C386" s="216">
        <v>176900</v>
      </c>
      <c r="D386" s="3">
        <v>161800</v>
      </c>
      <c r="E386" s="3">
        <v>538230</v>
      </c>
      <c r="F386" s="3">
        <v>16500</v>
      </c>
      <c r="G386" s="3">
        <v>745972</v>
      </c>
      <c r="H386" s="3">
        <v>1753000</v>
      </c>
      <c r="I386" s="249">
        <v>67700</v>
      </c>
      <c r="J386" s="285">
        <v>63300</v>
      </c>
      <c r="K386" s="323">
        <v>0</v>
      </c>
      <c r="L386" s="3">
        <v>64600</v>
      </c>
      <c r="M386" s="360">
        <v>423850</v>
      </c>
      <c r="N386" s="395">
        <v>2100</v>
      </c>
      <c r="O386" s="3">
        <v>90234</v>
      </c>
      <c r="P386" s="3">
        <v>98100</v>
      </c>
      <c r="Q386" s="3">
        <v>324600</v>
      </c>
      <c r="R386" s="3">
        <v>57700</v>
      </c>
    </row>
    <row r="387" spans="1:18" x14ac:dyDescent="0.35">
      <c r="A387" s="123">
        <v>43983</v>
      </c>
      <c r="B387" s="183">
        <v>427300</v>
      </c>
      <c r="C387" s="216">
        <v>237200</v>
      </c>
      <c r="D387" s="3">
        <v>569100</v>
      </c>
      <c r="E387" s="3">
        <v>638463</v>
      </c>
      <c r="F387" s="3">
        <v>23400</v>
      </c>
      <c r="G387" s="3">
        <v>1071537</v>
      </c>
      <c r="H387" s="3">
        <v>3466300</v>
      </c>
      <c r="I387" s="249">
        <v>98900</v>
      </c>
      <c r="J387" s="285">
        <v>101400</v>
      </c>
      <c r="K387" s="323">
        <v>0</v>
      </c>
      <c r="L387" s="3">
        <v>306000</v>
      </c>
      <c r="M387" s="360">
        <v>740934</v>
      </c>
      <c r="N387" s="395">
        <v>5200</v>
      </c>
      <c r="O387" s="3">
        <v>137777</v>
      </c>
      <c r="P387" s="3">
        <v>93500</v>
      </c>
      <c r="Q387" s="3">
        <v>396800</v>
      </c>
      <c r="R387" s="3">
        <v>54000</v>
      </c>
    </row>
    <row r="388" spans="1:18" x14ac:dyDescent="0.35">
      <c r="A388" s="123">
        <v>44013</v>
      </c>
      <c r="B388" s="183">
        <v>350510</v>
      </c>
      <c r="C388" s="216">
        <v>222300</v>
      </c>
      <c r="D388" s="3">
        <v>425600</v>
      </c>
      <c r="E388" s="3">
        <v>568063</v>
      </c>
      <c r="F388" s="3">
        <v>28900</v>
      </c>
      <c r="G388" s="3">
        <v>1074874</v>
      </c>
      <c r="H388" s="3">
        <v>3686500</v>
      </c>
      <c r="I388" s="249">
        <v>115100</v>
      </c>
      <c r="J388" s="285">
        <v>84000</v>
      </c>
      <c r="K388" s="323">
        <v>0</v>
      </c>
      <c r="L388" s="3">
        <v>281800</v>
      </c>
      <c r="M388" s="360">
        <v>654894</v>
      </c>
      <c r="N388" s="395">
        <v>3700</v>
      </c>
      <c r="O388" s="3">
        <v>157512</v>
      </c>
      <c r="P388" s="3">
        <v>54300</v>
      </c>
      <c r="Q388" s="3">
        <v>481200</v>
      </c>
      <c r="R388" s="3">
        <v>34000</v>
      </c>
    </row>
    <row r="389" spans="1:18" x14ac:dyDescent="0.35">
      <c r="A389" s="123">
        <v>44044</v>
      </c>
      <c r="B389" s="183">
        <v>397730</v>
      </c>
      <c r="C389" s="216">
        <v>384100</v>
      </c>
      <c r="D389" s="3">
        <v>695700</v>
      </c>
      <c r="E389" s="3">
        <v>865231</v>
      </c>
      <c r="F389" s="3">
        <v>35900</v>
      </c>
      <c r="G389" s="3">
        <v>1613780</v>
      </c>
      <c r="H389" s="3">
        <v>3205000</v>
      </c>
      <c r="I389" s="249">
        <v>141500</v>
      </c>
      <c r="J389" s="285">
        <v>99000</v>
      </c>
      <c r="K389" s="323">
        <v>0</v>
      </c>
      <c r="L389" s="3">
        <v>421200</v>
      </c>
      <c r="M389" s="360">
        <v>832317</v>
      </c>
      <c r="N389" s="395">
        <v>5400</v>
      </c>
      <c r="O389" s="3">
        <v>395089</v>
      </c>
      <c r="P389" s="3">
        <v>85800</v>
      </c>
      <c r="Q389" s="3">
        <v>676800</v>
      </c>
      <c r="R389" s="3">
        <v>48900</v>
      </c>
    </row>
    <row r="390" spans="1:18" x14ac:dyDescent="0.35">
      <c r="A390" s="123">
        <v>44075</v>
      </c>
      <c r="B390" s="183">
        <v>258800</v>
      </c>
      <c r="C390" s="216">
        <v>209700</v>
      </c>
      <c r="D390" s="3">
        <v>484630</v>
      </c>
      <c r="E390" s="3">
        <v>506207</v>
      </c>
      <c r="F390" s="3">
        <v>20400</v>
      </c>
      <c r="G390" s="3">
        <v>851541</v>
      </c>
      <c r="H390" s="3">
        <v>2341600</v>
      </c>
      <c r="I390" s="249">
        <v>120800</v>
      </c>
      <c r="J390" s="285">
        <v>78800</v>
      </c>
      <c r="K390" s="323">
        <v>12800</v>
      </c>
      <c r="L390" s="3">
        <v>240700</v>
      </c>
      <c r="M390" s="360">
        <v>386073</v>
      </c>
      <c r="N390" s="395">
        <v>6900</v>
      </c>
      <c r="O390" s="3">
        <v>482762</v>
      </c>
      <c r="P390" s="3">
        <v>71100</v>
      </c>
      <c r="Q390" s="3">
        <v>339300</v>
      </c>
      <c r="R390" s="3">
        <v>41000</v>
      </c>
    </row>
    <row r="391" spans="1:18" x14ac:dyDescent="0.35">
      <c r="A391" s="124">
        <v>44126</v>
      </c>
      <c r="B391" s="183">
        <v>246200</v>
      </c>
      <c r="C391" s="216">
        <v>167800</v>
      </c>
      <c r="D391" s="3">
        <v>409440</v>
      </c>
      <c r="E391" s="29">
        <v>368185</v>
      </c>
      <c r="F391" s="3">
        <v>16300</v>
      </c>
      <c r="G391" s="3">
        <v>719151</v>
      </c>
      <c r="H391" s="3">
        <v>2632900</v>
      </c>
      <c r="I391" s="249">
        <v>121200</v>
      </c>
      <c r="J391" s="285">
        <v>77800</v>
      </c>
      <c r="K391" s="323">
        <v>130100</v>
      </c>
      <c r="L391" s="3">
        <v>148400</v>
      </c>
      <c r="M391" s="360">
        <v>299888</v>
      </c>
      <c r="N391" s="395">
        <v>8000</v>
      </c>
      <c r="O391" s="3">
        <v>160827</v>
      </c>
      <c r="P391" s="3">
        <v>85100</v>
      </c>
      <c r="Q391" s="3">
        <v>293400</v>
      </c>
      <c r="R391" s="29">
        <v>40700</v>
      </c>
    </row>
    <row r="392" spans="1:18" x14ac:dyDescent="0.35">
      <c r="A392" s="124">
        <v>44154</v>
      </c>
      <c r="B392" s="183">
        <v>154350</v>
      </c>
      <c r="C392" s="216">
        <v>103100</v>
      </c>
      <c r="D392" s="3">
        <v>371500</v>
      </c>
      <c r="E392" s="35">
        <v>815050.68</v>
      </c>
      <c r="F392" s="3">
        <v>15200</v>
      </c>
      <c r="G392" s="3">
        <v>496877</v>
      </c>
      <c r="H392" s="3">
        <v>1501900</v>
      </c>
      <c r="I392" s="249">
        <v>63800</v>
      </c>
      <c r="J392" s="285">
        <v>76500</v>
      </c>
      <c r="K392" s="323">
        <v>149500</v>
      </c>
      <c r="L392" s="3">
        <v>114200</v>
      </c>
      <c r="M392" s="360">
        <v>348714.2</v>
      </c>
      <c r="N392" s="395">
        <v>9920</v>
      </c>
      <c r="O392" s="3">
        <v>129303</v>
      </c>
      <c r="P392" s="3">
        <v>66500</v>
      </c>
      <c r="Q392" s="3">
        <v>317200</v>
      </c>
      <c r="R392" s="3">
        <v>36341</v>
      </c>
    </row>
    <row r="393" spans="1:18" x14ac:dyDescent="0.35">
      <c r="A393" s="124">
        <v>44191</v>
      </c>
      <c r="B393" s="183">
        <v>68280</v>
      </c>
      <c r="C393" s="216">
        <v>61300</v>
      </c>
      <c r="D393" s="3">
        <v>199600</v>
      </c>
      <c r="E393" s="3">
        <v>298801</v>
      </c>
      <c r="F393" s="3">
        <v>6000</v>
      </c>
      <c r="G393" s="3">
        <v>206688</v>
      </c>
      <c r="H393" s="3">
        <v>646200</v>
      </c>
      <c r="I393" s="249">
        <v>40700</v>
      </c>
      <c r="J393" s="285">
        <v>52800</v>
      </c>
      <c r="K393" s="323">
        <v>47800</v>
      </c>
      <c r="L393" s="3">
        <v>48200</v>
      </c>
      <c r="M393" s="360">
        <v>191232</v>
      </c>
      <c r="N393" s="395">
        <v>11609</v>
      </c>
      <c r="O393" s="3">
        <v>51269</v>
      </c>
      <c r="P393" s="3">
        <v>14800</v>
      </c>
      <c r="Q393" s="3">
        <v>143000</v>
      </c>
      <c r="R393" s="3">
        <v>16579</v>
      </c>
    </row>
    <row r="394" spans="1:18" x14ac:dyDescent="0.35">
      <c r="A394" s="124">
        <v>44217</v>
      </c>
      <c r="B394" s="183">
        <v>143980</v>
      </c>
      <c r="C394" s="216">
        <v>239400</v>
      </c>
      <c r="D394" s="3">
        <v>314500</v>
      </c>
      <c r="E394" s="3">
        <v>477925</v>
      </c>
      <c r="F394" s="3">
        <v>14600</v>
      </c>
      <c r="G394" s="3">
        <v>545433</v>
      </c>
      <c r="H394" s="3">
        <v>2004200</v>
      </c>
      <c r="I394" s="249">
        <v>83000</v>
      </c>
      <c r="J394" s="285">
        <v>46900</v>
      </c>
      <c r="K394" s="323">
        <v>58500</v>
      </c>
      <c r="L394" s="3">
        <v>148400</v>
      </c>
      <c r="M394" s="360">
        <v>782553</v>
      </c>
      <c r="N394" s="395">
        <v>10980</v>
      </c>
      <c r="O394" s="3">
        <v>218728</v>
      </c>
      <c r="P394" s="3">
        <v>49400</v>
      </c>
      <c r="Q394" s="3">
        <v>423000</v>
      </c>
      <c r="R394" s="3">
        <v>42260</v>
      </c>
    </row>
    <row r="395" spans="1:18" x14ac:dyDescent="0.35">
      <c r="A395" s="124">
        <v>44238</v>
      </c>
      <c r="B395" s="183">
        <v>158350</v>
      </c>
      <c r="C395" s="216">
        <v>158900</v>
      </c>
      <c r="D395" s="3">
        <v>200000</v>
      </c>
      <c r="E395" s="3">
        <v>193215</v>
      </c>
      <c r="F395" s="3">
        <v>10800</v>
      </c>
      <c r="G395" s="3">
        <v>387035</v>
      </c>
      <c r="H395" s="3">
        <v>1111000</v>
      </c>
      <c r="I395" s="249">
        <v>41400</v>
      </c>
      <c r="J395" s="285">
        <v>15600</v>
      </c>
      <c r="K395" s="323">
        <v>26800</v>
      </c>
      <c r="L395" s="3">
        <v>120100</v>
      </c>
      <c r="M395" s="360">
        <v>229212</v>
      </c>
      <c r="N395" s="395">
        <v>21020</v>
      </c>
      <c r="O395" s="3">
        <v>97811</v>
      </c>
      <c r="P395" s="3">
        <v>55400</v>
      </c>
      <c r="Q395" s="3">
        <v>273400</v>
      </c>
      <c r="R395" s="3">
        <v>51422</v>
      </c>
    </row>
    <row r="396" spans="1:18" x14ac:dyDescent="0.35">
      <c r="A396" s="124">
        <v>44263</v>
      </c>
      <c r="B396" s="183">
        <v>248780</v>
      </c>
      <c r="C396" s="216">
        <v>254100</v>
      </c>
      <c r="D396" s="3">
        <v>367400</v>
      </c>
      <c r="E396" s="3">
        <v>466368</v>
      </c>
      <c r="F396" s="3">
        <v>19700</v>
      </c>
      <c r="G396" s="3">
        <v>700776</v>
      </c>
      <c r="H396" s="3">
        <v>2098000</v>
      </c>
      <c r="I396" s="249">
        <v>40022</v>
      </c>
      <c r="J396" s="285">
        <v>51000</v>
      </c>
      <c r="K396" s="323">
        <v>46800</v>
      </c>
      <c r="L396" s="3">
        <v>217300</v>
      </c>
      <c r="M396" s="360">
        <v>559569</v>
      </c>
      <c r="N396" s="395">
        <v>39020</v>
      </c>
      <c r="O396" s="3">
        <v>192429</v>
      </c>
      <c r="P396" s="3">
        <v>53700</v>
      </c>
      <c r="Q396" s="3">
        <v>458400</v>
      </c>
      <c r="R396" s="3">
        <v>40622</v>
      </c>
    </row>
    <row r="397" spans="1:18" x14ac:dyDescent="0.35">
      <c r="A397" s="124">
        <v>44308</v>
      </c>
      <c r="B397" s="183">
        <v>241770</v>
      </c>
      <c r="C397" s="216">
        <v>192400</v>
      </c>
      <c r="D397" s="3">
        <v>303400</v>
      </c>
      <c r="E397" s="3">
        <v>472290</v>
      </c>
      <c r="F397" s="3">
        <v>18600</v>
      </c>
      <c r="G397" s="3">
        <v>836774</v>
      </c>
      <c r="H397" s="3">
        <v>2604100</v>
      </c>
      <c r="I397" s="249">
        <v>46298</v>
      </c>
      <c r="J397" s="285">
        <v>78500</v>
      </c>
      <c r="K397" s="323">
        <v>80900</v>
      </c>
      <c r="L397" s="3">
        <v>166000</v>
      </c>
      <c r="M397" s="360">
        <v>533842</v>
      </c>
      <c r="N397" s="395">
        <v>81571</v>
      </c>
      <c r="O397" s="3">
        <v>160343</v>
      </c>
      <c r="P397" s="3">
        <v>42700</v>
      </c>
      <c r="Q397" s="3">
        <v>396300</v>
      </c>
      <c r="R397" s="3">
        <v>36066</v>
      </c>
    </row>
    <row r="398" spans="1:18" x14ac:dyDescent="0.35">
      <c r="A398" s="124">
        <v>44336</v>
      </c>
      <c r="B398" s="183">
        <v>323860</v>
      </c>
      <c r="C398" s="216">
        <v>433800</v>
      </c>
      <c r="D398" s="3">
        <v>753400</v>
      </c>
      <c r="E398" s="3">
        <v>682307</v>
      </c>
      <c r="F398" s="3">
        <v>26500</v>
      </c>
      <c r="G398" s="3">
        <v>1451429</v>
      </c>
      <c r="H398" s="3">
        <v>3981700</v>
      </c>
      <c r="I398" s="249">
        <v>106377</v>
      </c>
      <c r="J398" s="285">
        <v>55200</v>
      </c>
      <c r="K398" s="323">
        <v>111600</v>
      </c>
      <c r="L398" s="3">
        <v>354300</v>
      </c>
      <c r="M398" s="360">
        <v>788123</v>
      </c>
      <c r="N398" s="395">
        <v>66401</v>
      </c>
      <c r="O398" s="3">
        <v>319759</v>
      </c>
      <c r="P398" s="3">
        <v>152400</v>
      </c>
      <c r="Q398" s="3">
        <v>762300</v>
      </c>
      <c r="R398" s="3">
        <v>106900</v>
      </c>
    </row>
    <row r="399" spans="1:18" x14ac:dyDescent="0.35">
      <c r="A399" s="124">
        <v>44371</v>
      </c>
      <c r="B399" s="183">
        <v>171640</v>
      </c>
      <c r="C399" s="216">
        <v>346200</v>
      </c>
      <c r="D399" s="3">
        <v>511400</v>
      </c>
      <c r="E399" s="3">
        <v>439253</v>
      </c>
      <c r="F399" s="3">
        <v>14200</v>
      </c>
      <c r="G399" s="3">
        <v>1026698</v>
      </c>
      <c r="H399" s="3">
        <v>3239600</v>
      </c>
      <c r="I399" s="249">
        <v>96203</v>
      </c>
      <c r="J399" s="285">
        <v>56500</v>
      </c>
      <c r="K399" s="323">
        <v>104400</v>
      </c>
      <c r="L399" s="3">
        <v>353100</v>
      </c>
      <c r="M399" s="360">
        <v>259565</v>
      </c>
      <c r="N399" s="395">
        <v>70636</v>
      </c>
      <c r="O399" s="3">
        <v>248556</v>
      </c>
      <c r="P399" s="3">
        <v>113300</v>
      </c>
      <c r="Q399" s="3">
        <v>531400</v>
      </c>
      <c r="R399" s="3">
        <v>78013</v>
      </c>
    </row>
    <row r="400" spans="1:18" x14ac:dyDescent="0.35">
      <c r="A400" s="124">
        <v>44398</v>
      </c>
      <c r="B400" s="183">
        <v>305570</v>
      </c>
      <c r="C400" s="216">
        <v>417700</v>
      </c>
      <c r="D400" s="3">
        <v>464800</v>
      </c>
      <c r="E400" s="3">
        <v>456730</v>
      </c>
      <c r="F400" s="3">
        <v>11600</v>
      </c>
      <c r="G400" s="3">
        <v>968980</v>
      </c>
      <c r="H400" s="3">
        <v>3554700</v>
      </c>
      <c r="I400" s="249">
        <v>77015</v>
      </c>
      <c r="J400" s="285">
        <v>70400</v>
      </c>
      <c r="K400" s="323">
        <v>81000</v>
      </c>
      <c r="L400" s="3">
        <v>339700</v>
      </c>
      <c r="M400" s="360">
        <v>823071</v>
      </c>
      <c r="N400" s="395">
        <v>50690</v>
      </c>
      <c r="O400" s="3">
        <v>235009</v>
      </c>
      <c r="P400" s="3">
        <v>127600</v>
      </c>
      <c r="Q400" s="3">
        <v>511600</v>
      </c>
      <c r="R400" s="3">
        <v>79991</v>
      </c>
    </row>
    <row r="401" spans="1:18" x14ac:dyDescent="0.35">
      <c r="A401" s="124">
        <v>44429</v>
      </c>
      <c r="B401" s="183">
        <v>385720</v>
      </c>
      <c r="C401" s="216">
        <v>593100</v>
      </c>
      <c r="D401" s="3">
        <v>292400</v>
      </c>
      <c r="E401" s="3">
        <v>669146</v>
      </c>
      <c r="F401" s="3">
        <v>18300</v>
      </c>
      <c r="G401" s="3">
        <v>1425388</v>
      </c>
      <c r="H401" s="3">
        <v>3905100</v>
      </c>
      <c r="I401" s="249">
        <v>106763</v>
      </c>
      <c r="J401" s="285">
        <v>107800</v>
      </c>
      <c r="K401" s="323">
        <v>94300</v>
      </c>
      <c r="L401" s="3">
        <v>331500</v>
      </c>
      <c r="M401" s="360">
        <v>897181</v>
      </c>
      <c r="N401" s="395">
        <v>98000</v>
      </c>
      <c r="O401" s="3">
        <v>301559</v>
      </c>
      <c r="P401" s="3">
        <v>191200</v>
      </c>
      <c r="Q401" s="3">
        <v>750300</v>
      </c>
      <c r="R401" s="3">
        <v>105000</v>
      </c>
    </row>
    <row r="402" spans="1:18" x14ac:dyDescent="0.35">
      <c r="A402" s="124">
        <v>44456</v>
      </c>
      <c r="B402" s="183">
        <v>210440</v>
      </c>
      <c r="C402" s="216">
        <v>150900</v>
      </c>
      <c r="D402" s="3">
        <v>307400</v>
      </c>
      <c r="E402" s="3">
        <v>347976</v>
      </c>
      <c r="F402" s="3">
        <v>12300</v>
      </c>
      <c r="G402" s="3">
        <v>743551</v>
      </c>
      <c r="H402" s="3">
        <v>1748200</v>
      </c>
      <c r="I402" s="249">
        <v>82704</v>
      </c>
      <c r="J402" s="285">
        <v>79800</v>
      </c>
      <c r="K402" s="323">
        <v>79300</v>
      </c>
      <c r="L402" s="3">
        <v>242300</v>
      </c>
      <c r="M402" s="360">
        <v>495266</v>
      </c>
      <c r="N402" s="395">
        <v>92960</v>
      </c>
      <c r="O402" s="3">
        <v>187982</v>
      </c>
      <c r="P402" s="3">
        <v>67300</v>
      </c>
      <c r="Q402" s="3">
        <v>410600</v>
      </c>
      <c r="R402" s="3">
        <v>89901</v>
      </c>
    </row>
    <row r="403" spans="1:18" x14ac:dyDescent="0.35">
      <c r="A403" s="124">
        <v>44470</v>
      </c>
      <c r="B403" s="183">
        <v>206250</v>
      </c>
      <c r="C403" s="216">
        <v>156200</v>
      </c>
      <c r="D403" s="3">
        <v>279000</v>
      </c>
      <c r="E403" s="3">
        <v>329889</v>
      </c>
      <c r="F403" s="3">
        <v>8900</v>
      </c>
      <c r="G403" s="3">
        <v>706912</v>
      </c>
      <c r="H403" s="3">
        <v>2959200</v>
      </c>
      <c r="I403" s="249">
        <v>65518</v>
      </c>
      <c r="J403" s="285">
        <v>86900</v>
      </c>
      <c r="K403" s="323">
        <v>71000</v>
      </c>
      <c r="L403" s="3">
        <v>195500</v>
      </c>
      <c r="M403" s="360">
        <v>448206</v>
      </c>
      <c r="N403" s="395">
        <v>73940</v>
      </c>
      <c r="O403" s="3">
        <v>158963</v>
      </c>
      <c r="P403" s="3">
        <v>42100</v>
      </c>
      <c r="Q403" s="3">
        <v>340400</v>
      </c>
      <c r="R403" s="3">
        <v>85089</v>
      </c>
    </row>
    <row r="404" spans="1:18" x14ac:dyDescent="0.35">
      <c r="A404" s="124">
        <v>44501</v>
      </c>
      <c r="B404" s="183">
        <v>121640</v>
      </c>
      <c r="C404" s="216">
        <v>128100</v>
      </c>
      <c r="D404" s="3">
        <v>271700</v>
      </c>
      <c r="E404" s="3">
        <v>186999</v>
      </c>
      <c r="F404" s="3">
        <v>6100</v>
      </c>
      <c r="G404" s="3">
        <v>623436</v>
      </c>
      <c r="H404" s="3">
        <v>1455000</v>
      </c>
      <c r="I404" s="249">
        <v>43944</v>
      </c>
      <c r="J404" s="285">
        <v>37000</v>
      </c>
      <c r="K404" s="323">
        <v>42600</v>
      </c>
      <c r="L404" s="3">
        <v>136800</v>
      </c>
      <c r="M404" s="360">
        <v>275366.2</v>
      </c>
      <c r="N404" s="395">
        <v>43000</v>
      </c>
      <c r="O404" s="3">
        <v>119495</v>
      </c>
      <c r="P404" s="3">
        <v>41600</v>
      </c>
      <c r="Q404" s="3">
        <v>287000</v>
      </c>
      <c r="R404" s="3">
        <v>131300</v>
      </c>
    </row>
    <row r="405" spans="1:18" x14ac:dyDescent="0.35">
      <c r="A405" s="124">
        <v>44531</v>
      </c>
      <c r="B405" s="183">
        <v>22170</v>
      </c>
      <c r="C405" s="216">
        <v>80000</v>
      </c>
      <c r="D405" s="3">
        <v>227500</v>
      </c>
      <c r="E405" s="3">
        <v>211533</v>
      </c>
      <c r="F405" s="3">
        <v>3600</v>
      </c>
      <c r="G405" s="3">
        <v>532700</v>
      </c>
      <c r="H405" s="3">
        <v>1048800</v>
      </c>
      <c r="I405" s="249">
        <v>36000</v>
      </c>
      <c r="J405" s="285">
        <v>60200</v>
      </c>
      <c r="K405" s="323">
        <v>32600</v>
      </c>
      <c r="L405" s="3">
        <v>151600</v>
      </c>
      <c r="M405" s="360">
        <v>348225</v>
      </c>
      <c r="N405" s="395">
        <v>15600</v>
      </c>
      <c r="O405" s="3">
        <v>74289</v>
      </c>
      <c r="P405" s="3">
        <v>29300</v>
      </c>
      <c r="Q405" s="3">
        <v>159000</v>
      </c>
      <c r="R405" s="3">
        <v>78600</v>
      </c>
    </row>
    <row r="406" spans="1:18" x14ac:dyDescent="0.35">
      <c r="A406" s="124">
        <v>44562</v>
      </c>
      <c r="B406" s="183">
        <v>75190</v>
      </c>
      <c r="C406" s="216">
        <v>71300</v>
      </c>
      <c r="D406" s="3">
        <v>155400</v>
      </c>
      <c r="E406" s="3">
        <v>78526</v>
      </c>
      <c r="F406" s="3">
        <v>1600</v>
      </c>
      <c r="G406" s="3">
        <v>293685</v>
      </c>
      <c r="H406" s="3">
        <v>476100</v>
      </c>
      <c r="I406" s="249">
        <v>9900</v>
      </c>
      <c r="J406" s="285">
        <v>46900</v>
      </c>
      <c r="K406" s="323">
        <v>23500</v>
      </c>
      <c r="L406" s="3">
        <v>52700</v>
      </c>
      <c r="M406" s="360">
        <v>122358</v>
      </c>
      <c r="N406" s="395">
        <v>6800</v>
      </c>
      <c r="O406" s="3">
        <v>42089</v>
      </c>
      <c r="P406" s="3">
        <v>17600</v>
      </c>
      <c r="Q406" s="3">
        <v>131900</v>
      </c>
      <c r="R406" s="3">
        <v>77800</v>
      </c>
    </row>
    <row r="407" spans="1:18" x14ac:dyDescent="0.35">
      <c r="A407" s="124">
        <v>44593</v>
      </c>
      <c r="B407" s="183">
        <v>229680</v>
      </c>
      <c r="C407" s="216">
        <v>127900</v>
      </c>
      <c r="D407" s="3">
        <v>334800</v>
      </c>
      <c r="E407" s="3">
        <v>277932</v>
      </c>
      <c r="F407" s="3">
        <v>8000</v>
      </c>
      <c r="G407" s="3">
        <v>833372</v>
      </c>
      <c r="H407" s="3">
        <v>1868400</v>
      </c>
      <c r="I407" s="249">
        <v>11000</v>
      </c>
      <c r="J407" s="285">
        <v>58100</v>
      </c>
      <c r="K407" s="323">
        <v>103700</v>
      </c>
      <c r="L407" s="3">
        <v>109500</v>
      </c>
      <c r="M407" s="360">
        <v>463985</v>
      </c>
      <c r="N407" s="395">
        <v>6900</v>
      </c>
      <c r="O407" s="3">
        <v>248761</v>
      </c>
      <c r="P407" s="3">
        <v>20400</v>
      </c>
      <c r="Q407" s="3">
        <v>391600</v>
      </c>
      <c r="R407" s="3">
        <v>168500</v>
      </c>
    </row>
    <row r="408" spans="1:18" x14ac:dyDescent="0.35">
      <c r="A408" s="124">
        <v>44621</v>
      </c>
      <c r="B408" s="183">
        <v>254960</v>
      </c>
      <c r="C408" s="216">
        <v>241900</v>
      </c>
      <c r="D408" s="3">
        <v>550800</v>
      </c>
      <c r="E408" s="3">
        <v>307810</v>
      </c>
      <c r="F408" s="3">
        <v>15200</v>
      </c>
      <c r="G408" s="3">
        <v>1227459</v>
      </c>
      <c r="H408" s="3">
        <v>3830300</v>
      </c>
      <c r="I408" s="249">
        <v>13000</v>
      </c>
      <c r="J408" s="285">
        <v>75600</v>
      </c>
      <c r="K408" s="323">
        <v>84200</v>
      </c>
      <c r="L408" s="3">
        <v>157800</v>
      </c>
      <c r="M408" s="360">
        <v>581618</v>
      </c>
      <c r="N408" s="395">
        <v>8700</v>
      </c>
      <c r="O408" s="3">
        <v>203094</v>
      </c>
      <c r="P408" s="3">
        <v>37100</v>
      </c>
      <c r="Q408" s="3">
        <v>508600</v>
      </c>
      <c r="R408" s="3">
        <v>279600</v>
      </c>
    </row>
    <row r="409" spans="1:18" x14ac:dyDescent="0.35">
      <c r="A409" s="124">
        <v>44666</v>
      </c>
      <c r="B409" s="183">
        <v>127510</v>
      </c>
      <c r="C409" s="216">
        <v>185900</v>
      </c>
      <c r="D409" s="3">
        <v>446300</v>
      </c>
      <c r="E409" s="3">
        <v>349825</v>
      </c>
      <c r="F409" s="3">
        <v>9400</v>
      </c>
      <c r="G409" s="3">
        <v>827665</v>
      </c>
      <c r="H409" s="3">
        <v>1339000</v>
      </c>
      <c r="I409" s="249">
        <v>82000</v>
      </c>
      <c r="J409" s="285">
        <v>54600</v>
      </c>
      <c r="K409" s="323">
        <v>60600</v>
      </c>
      <c r="L409" s="3">
        <v>187000</v>
      </c>
      <c r="M409" s="360">
        <v>412774</v>
      </c>
      <c r="N409" s="395">
        <v>5200</v>
      </c>
      <c r="O409" s="3">
        <v>160752</v>
      </c>
      <c r="P409" s="3">
        <v>50800</v>
      </c>
      <c r="Q409" s="3">
        <v>320000</v>
      </c>
      <c r="R409" s="3">
        <v>115000</v>
      </c>
    </row>
    <row r="410" spans="1:18" x14ac:dyDescent="0.35">
      <c r="A410" s="124">
        <v>44696</v>
      </c>
      <c r="B410" s="183">
        <v>305310</v>
      </c>
      <c r="C410" s="216">
        <v>226100</v>
      </c>
      <c r="D410" s="3">
        <v>512400</v>
      </c>
      <c r="E410" s="3">
        <v>489268</v>
      </c>
      <c r="F410" s="3">
        <v>12000</v>
      </c>
      <c r="G410" s="3">
        <v>971401</v>
      </c>
      <c r="H410" s="3">
        <v>2932700</v>
      </c>
      <c r="I410" s="249">
        <v>109515</v>
      </c>
      <c r="J410" s="285">
        <v>84500</v>
      </c>
      <c r="K410" s="323">
        <v>116300</v>
      </c>
      <c r="L410" s="3">
        <v>250000</v>
      </c>
      <c r="M410" s="360">
        <v>570404</v>
      </c>
      <c r="N410" s="395">
        <v>8400</v>
      </c>
      <c r="O410" s="3">
        <v>261960</v>
      </c>
      <c r="P410" s="3">
        <v>98600</v>
      </c>
      <c r="Q410" s="3">
        <v>490200</v>
      </c>
      <c r="R410" s="3">
        <v>245800</v>
      </c>
    </row>
    <row r="411" spans="1:18" x14ac:dyDescent="0.35">
      <c r="A411" s="124">
        <v>44713</v>
      </c>
      <c r="B411" s="183">
        <v>238190</v>
      </c>
      <c r="C411" s="216">
        <v>118100</v>
      </c>
      <c r="D411" s="3">
        <v>300300</v>
      </c>
      <c r="E411" s="3">
        <v>420209</v>
      </c>
      <c r="F411" s="3">
        <v>10400</v>
      </c>
      <c r="G411" s="3">
        <v>663627</v>
      </c>
      <c r="H411" s="3">
        <v>1908500</v>
      </c>
      <c r="I411" s="249">
        <v>59000</v>
      </c>
      <c r="J411" s="285">
        <v>44800</v>
      </c>
      <c r="K411" s="323">
        <v>92800</v>
      </c>
      <c r="L411" s="3">
        <v>212000</v>
      </c>
      <c r="M411" s="360">
        <v>442160</v>
      </c>
      <c r="N411" s="395">
        <v>10800</v>
      </c>
      <c r="O411" s="3">
        <v>203355</v>
      </c>
      <c r="P411" s="3">
        <v>53000</v>
      </c>
      <c r="Q411" s="3">
        <v>307200</v>
      </c>
      <c r="R411" s="3">
        <v>221600</v>
      </c>
    </row>
    <row r="412" spans="1:18" x14ac:dyDescent="0.35">
      <c r="A412" s="124">
        <v>44743</v>
      </c>
      <c r="B412" s="183">
        <v>232230</v>
      </c>
      <c r="C412" s="216">
        <v>85200</v>
      </c>
      <c r="D412" s="3">
        <v>325100</v>
      </c>
      <c r="E412" s="3">
        <v>377459</v>
      </c>
      <c r="F412" s="3">
        <v>9100</v>
      </c>
      <c r="G412" s="3">
        <v>654816</v>
      </c>
      <c r="H412" s="3">
        <v>1977100</v>
      </c>
      <c r="I412" s="249">
        <v>43000</v>
      </c>
      <c r="J412" s="285">
        <v>42900</v>
      </c>
      <c r="K412" s="323">
        <v>83400</v>
      </c>
      <c r="L412" s="3">
        <v>207000</v>
      </c>
      <c r="M412" s="360">
        <v>414337</v>
      </c>
      <c r="N412" s="395">
        <v>9600</v>
      </c>
      <c r="O412" s="3">
        <v>158334</v>
      </c>
      <c r="P412" s="3">
        <v>33800</v>
      </c>
      <c r="Q412" s="3">
        <v>275800</v>
      </c>
      <c r="R412" s="3">
        <v>159700</v>
      </c>
    </row>
    <row r="413" spans="1:18" x14ac:dyDescent="0.35">
      <c r="A413" s="124">
        <v>44774</v>
      </c>
      <c r="B413" s="183">
        <v>391750</v>
      </c>
      <c r="C413" s="216">
        <v>270300</v>
      </c>
      <c r="D413" s="3">
        <v>541400</v>
      </c>
      <c r="E413" s="3">
        <v>622222</v>
      </c>
      <c r="F413" s="3">
        <v>13400</v>
      </c>
      <c r="G413" s="3">
        <v>965880</v>
      </c>
      <c r="H413" s="3">
        <v>3081500</v>
      </c>
      <c r="I413" s="249">
        <v>74000</v>
      </c>
      <c r="J413" s="285">
        <v>95500</v>
      </c>
      <c r="K413" s="323">
        <v>128500</v>
      </c>
      <c r="L413" s="3">
        <v>287000</v>
      </c>
      <c r="M413" s="360">
        <v>675862</v>
      </c>
      <c r="N413" s="395">
        <v>13100</v>
      </c>
      <c r="O413" s="3">
        <v>294393</v>
      </c>
      <c r="P413" s="3">
        <v>36300</v>
      </c>
      <c r="Q413" s="3">
        <v>296700</v>
      </c>
      <c r="R413" s="3">
        <v>155300</v>
      </c>
    </row>
    <row r="414" spans="1:18" x14ac:dyDescent="0.35">
      <c r="A414" s="124">
        <v>44805</v>
      </c>
      <c r="B414" s="183">
        <v>236260</v>
      </c>
      <c r="C414" s="216">
        <v>206900</v>
      </c>
      <c r="D414" s="3">
        <v>397800</v>
      </c>
      <c r="E414" s="3">
        <v>245422</v>
      </c>
      <c r="F414" s="3">
        <v>9900</v>
      </c>
      <c r="G414" s="3">
        <v>775277</v>
      </c>
      <c r="H414" s="3">
        <v>2117800</v>
      </c>
      <c r="I414" s="249">
        <v>74000</v>
      </c>
      <c r="J414" s="285">
        <v>48200</v>
      </c>
      <c r="K414" s="323">
        <v>70300</v>
      </c>
      <c r="L414" s="3">
        <v>227000</v>
      </c>
      <c r="M414" s="360">
        <v>291241</v>
      </c>
      <c r="N414" s="395">
        <v>8700</v>
      </c>
      <c r="O414" s="3">
        <v>196132</v>
      </c>
      <c r="P414" s="3">
        <v>28000</v>
      </c>
      <c r="Q414" s="3">
        <v>264800</v>
      </c>
      <c r="R414" s="3">
        <v>117000</v>
      </c>
    </row>
    <row r="415" spans="1:18" x14ac:dyDescent="0.35">
      <c r="A415" s="124">
        <v>44849</v>
      </c>
      <c r="B415" s="183">
        <v>185510</v>
      </c>
      <c r="C415" s="216">
        <v>207100</v>
      </c>
      <c r="D415" s="3">
        <v>215400</v>
      </c>
      <c r="E415" s="3">
        <v>341581</v>
      </c>
      <c r="F415" s="3">
        <v>13400</v>
      </c>
      <c r="G415" s="3">
        <v>415854</v>
      </c>
      <c r="H415" s="3">
        <v>1639200</v>
      </c>
      <c r="I415" s="249">
        <v>81000</v>
      </c>
      <c r="J415" s="285">
        <v>31600</v>
      </c>
      <c r="K415" s="323">
        <v>73800</v>
      </c>
      <c r="L415" s="3">
        <v>158000</v>
      </c>
      <c r="M415" s="360">
        <v>346422</v>
      </c>
      <c r="N415" s="395">
        <v>8400</v>
      </c>
      <c r="O415" s="3">
        <v>174493</v>
      </c>
      <c r="P415" s="3">
        <v>33500</v>
      </c>
      <c r="Q415" s="3">
        <v>207800</v>
      </c>
      <c r="R415" s="3">
        <v>113600</v>
      </c>
    </row>
    <row r="416" spans="1:18" x14ac:dyDescent="0.35">
      <c r="A416" s="124">
        <v>44880</v>
      </c>
      <c r="B416" s="183">
        <v>113150</v>
      </c>
      <c r="C416" s="216">
        <v>115300</v>
      </c>
      <c r="D416" s="3">
        <v>133800</v>
      </c>
      <c r="E416" s="3">
        <v>211462</v>
      </c>
      <c r="F416" s="3">
        <v>4300</v>
      </c>
      <c r="G416" s="3">
        <v>276441</v>
      </c>
      <c r="H416" s="3">
        <v>1299400</v>
      </c>
      <c r="I416" s="249">
        <v>49400</v>
      </c>
      <c r="J416" s="285">
        <v>36200</v>
      </c>
      <c r="K416" s="323">
        <v>55200</v>
      </c>
      <c r="L416" s="3">
        <v>140900</v>
      </c>
      <c r="M416" s="360">
        <v>232031.2</v>
      </c>
      <c r="N416" s="395">
        <v>7200</v>
      </c>
      <c r="O416" s="3">
        <v>125909</v>
      </c>
      <c r="P416" s="3">
        <v>30100</v>
      </c>
      <c r="Q416" s="3">
        <v>190900</v>
      </c>
      <c r="R416" s="3">
        <v>81400</v>
      </c>
    </row>
    <row r="417" spans="1:18" x14ac:dyDescent="0.35">
      <c r="A417" s="124">
        <v>44910</v>
      </c>
      <c r="B417" s="183">
        <v>85930</v>
      </c>
      <c r="C417" s="216">
        <v>83300</v>
      </c>
      <c r="D417" s="3">
        <v>116100</v>
      </c>
      <c r="E417" s="3">
        <v>276123</v>
      </c>
      <c r="F417" s="3">
        <v>800</v>
      </c>
      <c r="G417" s="3">
        <v>180277</v>
      </c>
      <c r="H417" s="3">
        <v>548100</v>
      </c>
      <c r="I417" s="249">
        <v>22000</v>
      </c>
      <c r="J417" s="285">
        <v>29700</v>
      </c>
      <c r="K417" s="323">
        <v>42900</v>
      </c>
      <c r="L417" s="3">
        <v>79000</v>
      </c>
      <c r="M417" s="360">
        <v>122561</v>
      </c>
      <c r="N417" s="395">
        <v>1900</v>
      </c>
      <c r="O417" s="3">
        <v>95735</v>
      </c>
      <c r="P417" s="3">
        <v>13800</v>
      </c>
      <c r="Q417" s="3">
        <v>26200</v>
      </c>
      <c r="R417" s="3">
        <v>49100</v>
      </c>
    </row>
    <row r="418" spans="1:18" x14ac:dyDescent="0.35">
      <c r="A418" s="124">
        <v>44941</v>
      </c>
      <c r="B418" s="183">
        <v>14611</v>
      </c>
      <c r="C418" s="216">
        <v>23900</v>
      </c>
      <c r="D418" s="3">
        <v>49900</v>
      </c>
      <c r="E418" s="3">
        <v>13329</v>
      </c>
      <c r="F418" s="3">
        <v>0</v>
      </c>
      <c r="G418" s="3">
        <v>114209</v>
      </c>
      <c r="H418" s="3">
        <v>648700</v>
      </c>
      <c r="I418" s="249">
        <v>17400</v>
      </c>
      <c r="J418" s="285">
        <v>31600</v>
      </c>
      <c r="K418" s="323">
        <v>44700</v>
      </c>
      <c r="L418" s="3">
        <v>14000</v>
      </c>
      <c r="M418" s="360">
        <v>32703</v>
      </c>
      <c r="N418" s="395">
        <v>3700</v>
      </c>
      <c r="O418" s="3">
        <v>16331</v>
      </c>
      <c r="P418" s="3">
        <v>2500</v>
      </c>
      <c r="Q418" s="3">
        <v>27000</v>
      </c>
      <c r="R418" s="3">
        <v>24400</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B5C32-63F3-4471-B86F-9D8433A4661C}">
  <dimension ref="A1:O418"/>
  <sheetViews>
    <sheetView zoomScale="160" zoomScaleNormal="160" workbookViewId="0">
      <selection activeCell="H1" sqref="H1"/>
    </sheetView>
  </sheetViews>
  <sheetFormatPr defaultRowHeight="14.5" x14ac:dyDescent="0.35"/>
  <cols>
    <col min="1" max="1" width="8.90625" style="109"/>
  </cols>
  <sheetData>
    <row r="1" spans="1:15" x14ac:dyDescent="0.35">
      <c r="A1" s="109" t="s">
        <v>1</v>
      </c>
      <c r="B1" t="s">
        <v>2</v>
      </c>
      <c r="C1" t="s">
        <v>3</v>
      </c>
      <c r="D1" t="s">
        <v>4</v>
      </c>
      <c r="E1" t="s">
        <v>5</v>
      </c>
      <c r="F1" t="s">
        <v>6</v>
      </c>
      <c r="G1" t="s">
        <v>7</v>
      </c>
      <c r="H1" t="s">
        <v>26</v>
      </c>
      <c r="I1" t="s">
        <v>8</v>
      </c>
      <c r="J1" t="s">
        <v>9</v>
      </c>
      <c r="K1" t="s">
        <v>10</v>
      </c>
      <c r="L1" t="s">
        <v>11</v>
      </c>
      <c r="M1" t="s">
        <v>12</v>
      </c>
      <c r="N1" t="s">
        <v>13</v>
      </c>
      <c r="O1" t="s">
        <v>14</v>
      </c>
    </row>
    <row r="2" spans="1:15" x14ac:dyDescent="0.35">
      <c r="A2" s="118">
        <v>32264</v>
      </c>
      <c r="B2" s="40">
        <v>24.198749999999997</v>
      </c>
      <c r="C2" s="40">
        <v>26.28875</v>
      </c>
      <c r="D2" s="40">
        <v>20.8825</v>
      </c>
      <c r="E2" s="40">
        <v>31.075000000000006</v>
      </c>
      <c r="F2" s="40">
        <v>31.346250000000005</v>
      </c>
      <c r="G2" s="41">
        <v>29.105555555555554</v>
      </c>
      <c r="H2" s="40">
        <v>23.086249999999996</v>
      </c>
      <c r="I2" s="40"/>
      <c r="J2" s="40"/>
      <c r="K2" s="40"/>
      <c r="L2" s="40"/>
      <c r="M2" s="41"/>
      <c r="N2" s="41"/>
      <c r="O2" s="42"/>
    </row>
    <row r="3" spans="1:15" x14ac:dyDescent="0.35">
      <c r="A3" s="118">
        <v>32295</v>
      </c>
      <c r="B3" s="40">
        <v>23.714999999999996</v>
      </c>
      <c r="C3" s="40">
        <v>26.088750000000001</v>
      </c>
      <c r="D3" s="40">
        <v>20.806249999999999</v>
      </c>
      <c r="E3" s="40">
        <v>30.640555555555562</v>
      </c>
      <c r="F3" s="40">
        <v>31.253125000000008</v>
      </c>
      <c r="G3" s="41">
        <v>29.01722222222222</v>
      </c>
      <c r="H3" s="40">
        <v>22.7075</v>
      </c>
      <c r="I3" s="40"/>
      <c r="J3" s="40"/>
      <c r="K3" s="40"/>
      <c r="L3" s="40"/>
      <c r="M3" s="41"/>
      <c r="N3" s="41"/>
      <c r="O3" s="42"/>
    </row>
    <row r="4" spans="1:15" x14ac:dyDescent="0.35">
      <c r="A4" s="118">
        <v>32325</v>
      </c>
      <c r="B4" s="40">
        <v>25.103749999999998</v>
      </c>
      <c r="C4" s="40">
        <v>27.07</v>
      </c>
      <c r="D4" s="40">
        <v>22.027500000000003</v>
      </c>
      <c r="E4" s="40">
        <v>31.674999999999997</v>
      </c>
      <c r="F4" s="40">
        <v>32.26</v>
      </c>
      <c r="G4" s="41">
        <v>30.38944444444445</v>
      </c>
      <c r="H4" s="40">
        <v>23.545000000000002</v>
      </c>
      <c r="I4" s="40"/>
      <c r="J4" s="40"/>
      <c r="K4" s="40"/>
      <c r="L4" s="40"/>
      <c r="M4" s="41"/>
      <c r="N4" s="41"/>
      <c r="O4" s="42"/>
    </row>
    <row r="5" spans="1:15" x14ac:dyDescent="0.35">
      <c r="A5" s="118">
        <v>32356</v>
      </c>
      <c r="B5" s="40">
        <v>26.21</v>
      </c>
      <c r="C5" s="40">
        <v>25.24</v>
      </c>
      <c r="D5" s="40">
        <v>20.474999999999998</v>
      </c>
      <c r="E5" s="40">
        <v>30.21166666666667</v>
      </c>
      <c r="F5" s="40">
        <v>30.96125</v>
      </c>
      <c r="G5" s="41">
        <v>28.831666666666667</v>
      </c>
      <c r="H5" s="40">
        <v>22.368749999999999</v>
      </c>
      <c r="I5" s="40"/>
      <c r="J5" s="40"/>
      <c r="K5" s="40"/>
      <c r="L5" s="40"/>
      <c r="M5" s="41"/>
      <c r="N5" s="41"/>
      <c r="O5" s="42"/>
    </row>
    <row r="6" spans="1:15" ht="15" thickBot="1" x14ac:dyDescent="0.4">
      <c r="A6" s="119">
        <v>32387</v>
      </c>
      <c r="B6" s="43">
        <v>30.286249999999999</v>
      </c>
      <c r="C6" s="43">
        <v>24.66</v>
      </c>
      <c r="D6" s="43">
        <v>19.537499999999998</v>
      </c>
      <c r="E6" s="43">
        <v>29.258888888888894</v>
      </c>
      <c r="F6" s="43">
        <v>30.976249999999997</v>
      </c>
      <c r="G6" s="44">
        <v>28.144444444444442</v>
      </c>
      <c r="H6" s="43">
        <v>23.467500000000001</v>
      </c>
      <c r="I6" s="43"/>
      <c r="J6" s="43"/>
      <c r="K6" s="43"/>
      <c r="L6" s="43"/>
      <c r="M6" s="44"/>
      <c r="N6" s="44"/>
      <c r="O6" s="45"/>
    </row>
    <row r="7" spans="1:15" x14ac:dyDescent="0.35">
      <c r="A7" s="118">
        <v>32417</v>
      </c>
      <c r="B7" s="40">
        <v>26.807499999999997</v>
      </c>
      <c r="C7" s="40">
        <v>24.973749999999999</v>
      </c>
      <c r="D7" s="40">
        <v>19.335000000000001</v>
      </c>
      <c r="E7" s="40">
        <v>29.287777777777777</v>
      </c>
      <c r="F7" s="40">
        <v>30.867499999999996</v>
      </c>
      <c r="G7" s="41">
        <v>28.227222222222217</v>
      </c>
      <c r="H7" s="40">
        <v>24.16375</v>
      </c>
      <c r="I7" s="40"/>
      <c r="J7" s="40"/>
      <c r="K7" s="40"/>
      <c r="L7" s="40"/>
      <c r="M7" s="41"/>
      <c r="N7" s="41"/>
      <c r="O7" s="42"/>
    </row>
    <row r="8" spans="1:15" x14ac:dyDescent="0.35">
      <c r="A8" s="118">
        <v>32448</v>
      </c>
      <c r="B8" s="40">
        <v>23.322499999999998</v>
      </c>
      <c r="C8" s="40">
        <v>24.292499999999997</v>
      </c>
      <c r="D8" s="40">
        <v>18.677500000000002</v>
      </c>
      <c r="E8" s="40">
        <v>29.108888888888892</v>
      </c>
      <c r="F8" s="40">
        <v>31.573124999999997</v>
      </c>
      <c r="G8" s="41">
        <v>27.86888888888889</v>
      </c>
      <c r="H8" s="40">
        <v>24.35125</v>
      </c>
      <c r="I8" s="40"/>
      <c r="J8" s="40"/>
      <c r="K8" s="40"/>
      <c r="L8" s="40"/>
      <c r="M8" s="41"/>
      <c r="N8" s="41"/>
      <c r="O8" s="42"/>
    </row>
    <row r="9" spans="1:15" x14ac:dyDescent="0.35">
      <c r="A9" s="118">
        <v>32478</v>
      </c>
      <c r="B9" s="40">
        <v>23.102499999999996</v>
      </c>
      <c r="C9" s="40">
        <v>23.981249999999999</v>
      </c>
      <c r="D9" s="40">
        <v>18.618749999999999</v>
      </c>
      <c r="E9" s="40">
        <v>28.936111111111106</v>
      </c>
      <c r="F9" s="40">
        <v>30.925000000000001</v>
      </c>
      <c r="G9" s="41">
        <v>27.679444444444442</v>
      </c>
      <c r="H9" s="40">
        <v>24.438750000000002</v>
      </c>
      <c r="I9" s="40"/>
      <c r="J9" s="40"/>
      <c r="K9" s="40"/>
      <c r="L9" s="40"/>
      <c r="M9" s="41"/>
      <c r="N9" s="41"/>
      <c r="O9" s="42"/>
    </row>
    <row r="10" spans="1:15" x14ac:dyDescent="0.35">
      <c r="A10" s="118">
        <v>32509</v>
      </c>
      <c r="B10" s="40">
        <v>24.643749999999997</v>
      </c>
      <c r="C10" s="40">
        <v>26.373749999999998</v>
      </c>
      <c r="D10" s="40">
        <v>20.399999999999999</v>
      </c>
      <c r="E10" s="40">
        <v>31.345000000000002</v>
      </c>
      <c r="F10" s="40">
        <v>31.659375000000001</v>
      </c>
      <c r="G10" s="41">
        <v>28.930555555555557</v>
      </c>
      <c r="H10" s="40">
        <v>26.7575</v>
      </c>
      <c r="I10" s="40"/>
      <c r="J10" s="40"/>
      <c r="K10" s="40"/>
      <c r="L10" s="40"/>
      <c r="M10" s="41"/>
      <c r="N10" s="41"/>
      <c r="O10" s="42"/>
    </row>
    <row r="11" spans="1:15" x14ac:dyDescent="0.35">
      <c r="A11" s="118">
        <v>32540</v>
      </c>
      <c r="B11" s="40">
        <v>26.37875</v>
      </c>
      <c r="C11" s="40">
        <v>27.21875</v>
      </c>
      <c r="D11" s="40">
        <v>22.535000000000004</v>
      </c>
      <c r="E11" s="40">
        <v>32.187222222222225</v>
      </c>
      <c r="F11" s="40">
        <v>32.921875</v>
      </c>
      <c r="G11" s="41">
        <v>34.163888888888891</v>
      </c>
      <c r="H11" s="40">
        <v>27.905000000000001</v>
      </c>
      <c r="I11" s="40"/>
      <c r="J11" s="40"/>
      <c r="K11" s="40"/>
      <c r="L11" s="40"/>
      <c r="M11" s="41"/>
      <c r="N11" s="41"/>
      <c r="O11" s="42"/>
    </row>
    <row r="12" spans="1:15" x14ac:dyDescent="0.35">
      <c r="A12" s="118">
        <v>32568</v>
      </c>
      <c r="B12" s="40">
        <v>26.242500000000003</v>
      </c>
      <c r="C12" s="40">
        <v>26.525000000000006</v>
      </c>
      <c r="D12" s="40">
        <v>22.692500000000003</v>
      </c>
      <c r="E12" s="40">
        <v>31.676666666666659</v>
      </c>
      <c r="F12" s="40">
        <v>32.891874999999999</v>
      </c>
      <c r="G12" s="41">
        <v>36.605000000000004</v>
      </c>
      <c r="H12" s="40">
        <v>25.355</v>
      </c>
      <c r="I12" s="40"/>
      <c r="J12" s="40"/>
      <c r="K12" s="40"/>
      <c r="L12" s="40"/>
      <c r="M12" s="41"/>
      <c r="N12" s="41"/>
      <c r="O12" s="42"/>
    </row>
    <row r="13" spans="1:15" x14ac:dyDescent="0.35">
      <c r="A13" s="118">
        <v>32599</v>
      </c>
      <c r="B13" s="40">
        <v>26.23</v>
      </c>
      <c r="C13" s="40">
        <v>26.37125</v>
      </c>
      <c r="D13" s="40">
        <v>22.151250000000001</v>
      </c>
      <c r="E13" s="40">
        <v>31.146666666666665</v>
      </c>
      <c r="F13" s="40">
        <v>32.536249999999995</v>
      </c>
      <c r="G13" s="41">
        <v>32.411666666666669</v>
      </c>
      <c r="H13" s="40">
        <v>23.73</v>
      </c>
      <c r="I13" s="40"/>
      <c r="J13" s="40"/>
      <c r="K13" s="40"/>
      <c r="L13" s="40"/>
      <c r="M13" s="41"/>
      <c r="N13" s="41"/>
      <c r="O13" s="42"/>
    </row>
    <row r="14" spans="1:15" x14ac:dyDescent="0.35">
      <c r="A14" s="118">
        <v>32629</v>
      </c>
      <c r="B14" s="40">
        <v>25.305</v>
      </c>
      <c r="C14" s="40">
        <v>25.794999999999998</v>
      </c>
      <c r="D14" s="40">
        <v>21.0625</v>
      </c>
      <c r="E14" s="40">
        <v>30.011111111111106</v>
      </c>
      <c r="F14" s="40">
        <v>31.473750000000003</v>
      </c>
      <c r="G14" s="41">
        <v>29.522222222222226</v>
      </c>
      <c r="H14" s="40">
        <v>23.047499999999999</v>
      </c>
      <c r="I14" s="40"/>
      <c r="J14" s="40"/>
      <c r="K14" s="40"/>
      <c r="L14" s="40"/>
      <c r="M14" s="41"/>
      <c r="N14" s="41"/>
      <c r="O14" s="42"/>
    </row>
    <row r="15" spans="1:15" x14ac:dyDescent="0.35">
      <c r="A15" s="118">
        <v>32660</v>
      </c>
      <c r="B15" s="40">
        <v>25.735000000000003</v>
      </c>
      <c r="C15" s="40">
        <v>26.437500000000004</v>
      </c>
      <c r="D15" s="40">
        <v>21.158750000000001</v>
      </c>
      <c r="E15" s="40">
        <v>30.688888888888894</v>
      </c>
      <c r="F15" s="40">
        <v>32.058749999999996</v>
      </c>
      <c r="G15" s="41">
        <v>29.141111111111108</v>
      </c>
      <c r="H15" s="40">
        <v>23.72625</v>
      </c>
      <c r="I15" s="40"/>
      <c r="J15" s="40"/>
      <c r="K15" s="40"/>
      <c r="L15" s="40"/>
      <c r="M15" s="41"/>
      <c r="N15" s="41"/>
      <c r="O15" s="42"/>
    </row>
    <row r="16" spans="1:15" x14ac:dyDescent="0.35">
      <c r="A16" s="118">
        <v>32690</v>
      </c>
      <c r="B16" s="40">
        <v>24.512499999999999</v>
      </c>
      <c r="C16" s="40">
        <v>26.258749999999999</v>
      </c>
      <c r="D16" s="40">
        <v>20.03875</v>
      </c>
      <c r="E16" s="40">
        <v>29.789444444444445</v>
      </c>
      <c r="F16" s="40">
        <v>31.225624999999997</v>
      </c>
      <c r="G16" s="41">
        <v>28.252222222222226</v>
      </c>
      <c r="H16" s="40">
        <v>24.06625</v>
      </c>
      <c r="I16" s="40"/>
      <c r="J16" s="40"/>
      <c r="K16" s="40"/>
      <c r="L16" s="40"/>
      <c r="M16" s="41"/>
      <c r="N16" s="41"/>
      <c r="O16" s="42"/>
    </row>
    <row r="17" spans="1:15" x14ac:dyDescent="0.35">
      <c r="A17" s="118">
        <v>32721</v>
      </c>
      <c r="B17" s="40">
        <v>24.136250000000004</v>
      </c>
      <c r="C17" s="40">
        <v>26.64875</v>
      </c>
      <c r="D17" s="40">
        <v>19.82</v>
      </c>
      <c r="E17" s="40">
        <v>29.748888888888885</v>
      </c>
      <c r="F17" s="40">
        <v>31.204374999999999</v>
      </c>
      <c r="G17" s="41">
        <v>27.764444444444443</v>
      </c>
      <c r="H17" s="40">
        <v>24.074999999999999</v>
      </c>
      <c r="I17" s="40"/>
      <c r="J17" s="40"/>
      <c r="K17" s="40"/>
      <c r="L17" s="40"/>
      <c r="M17" s="41"/>
      <c r="N17" s="41"/>
      <c r="O17" s="42"/>
    </row>
    <row r="18" spans="1:15" ht="15" thickBot="1" x14ac:dyDescent="0.4">
      <c r="A18" s="119">
        <v>32752</v>
      </c>
      <c r="B18" s="43">
        <v>23.791249999999998</v>
      </c>
      <c r="C18" s="43">
        <v>26.671250000000001</v>
      </c>
      <c r="D18" s="43">
        <v>20.297499999999999</v>
      </c>
      <c r="E18" s="43">
        <v>29.89</v>
      </c>
      <c r="F18" s="43">
        <v>31.381874999999994</v>
      </c>
      <c r="G18" s="44">
        <v>27.622777777777781</v>
      </c>
      <c r="H18" s="43">
        <v>27.131250000000001</v>
      </c>
      <c r="I18" s="43"/>
      <c r="J18" s="43"/>
      <c r="K18" s="43"/>
      <c r="L18" s="43"/>
      <c r="M18" s="44"/>
      <c r="N18" s="44"/>
      <c r="O18" s="45"/>
    </row>
    <row r="19" spans="1:15" x14ac:dyDescent="0.35">
      <c r="A19" s="118">
        <v>32782</v>
      </c>
      <c r="B19" s="40">
        <v>24.078749999999999</v>
      </c>
      <c r="C19" s="40">
        <v>25.861249999999998</v>
      </c>
      <c r="D19" s="40">
        <v>20.149999999999999</v>
      </c>
      <c r="E19" s="40">
        <v>29.755000000000003</v>
      </c>
      <c r="F19" s="40">
        <v>31.430625000000003</v>
      </c>
      <c r="G19" s="41">
        <v>27.098333333333336</v>
      </c>
      <c r="H19" s="40">
        <v>28.708750000000002</v>
      </c>
      <c r="I19" s="40"/>
      <c r="J19" s="40"/>
      <c r="K19" s="40"/>
      <c r="L19" s="40"/>
      <c r="M19" s="41"/>
      <c r="N19" s="41"/>
      <c r="O19" s="42"/>
    </row>
    <row r="20" spans="1:15" x14ac:dyDescent="0.35">
      <c r="A20" s="118">
        <v>32813</v>
      </c>
      <c r="B20" s="40">
        <v>23.69125</v>
      </c>
      <c r="C20" s="40">
        <v>25.081249999999997</v>
      </c>
      <c r="D20" s="40">
        <v>19.779999999999998</v>
      </c>
      <c r="E20" s="40">
        <v>29.338388888888883</v>
      </c>
      <c r="F20" s="40">
        <v>31.714375</v>
      </c>
      <c r="G20" s="41">
        <v>26.91611111111111</v>
      </c>
      <c r="H20" s="40">
        <v>29.743750000000002</v>
      </c>
      <c r="I20" s="40"/>
      <c r="J20" s="40"/>
      <c r="K20" s="40"/>
      <c r="L20" s="40"/>
      <c r="M20" s="41"/>
      <c r="N20" s="41"/>
      <c r="O20" s="42"/>
    </row>
    <row r="21" spans="1:15" x14ac:dyDescent="0.35">
      <c r="A21" s="118">
        <v>32843</v>
      </c>
      <c r="B21" s="40">
        <v>24.442500000000003</v>
      </c>
      <c r="C21" s="40">
        <v>25.282500000000002</v>
      </c>
      <c r="D21" s="40">
        <v>20.6</v>
      </c>
      <c r="E21" s="40">
        <v>29.816111111111113</v>
      </c>
      <c r="F21" s="40">
        <v>32.050624999999997</v>
      </c>
      <c r="G21" s="41">
        <v>27.375555555555554</v>
      </c>
      <c r="H21" s="40">
        <v>27.03875</v>
      </c>
      <c r="I21" s="40"/>
      <c r="J21" s="40"/>
      <c r="K21" s="40"/>
      <c r="L21" s="40"/>
      <c r="M21" s="41"/>
      <c r="N21" s="41"/>
      <c r="O21" s="42"/>
    </row>
    <row r="22" spans="1:15" x14ac:dyDescent="0.35">
      <c r="A22" s="118">
        <v>32874</v>
      </c>
      <c r="B22" s="40">
        <v>26.411249999999999</v>
      </c>
      <c r="C22" s="40">
        <v>26.184999999999999</v>
      </c>
      <c r="D22" s="40">
        <v>23.373750000000001</v>
      </c>
      <c r="E22" s="40">
        <v>31.266111111111115</v>
      </c>
      <c r="F22" s="40">
        <v>37.293750000000003</v>
      </c>
      <c r="G22" s="41">
        <v>28.900000000000002</v>
      </c>
      <c r="H22" s="40">
        <v>30.767499999999998</v>
      </c>
      <c r="I22" s="40"/>
      <c r="J22" s="40"/>
      <c r="K22" s="40"/>
      <c r="L22" s="40"/>
      <c r="M22" s="41"/>
      <c r="N22" s="41"/>
      <c r="O22" s="42"/>
    </row>
    <row r="23" spans="1:15" x14ac:dyDescent="0.35">
      <c r="A23" s="118">
        <v>32905</v>
      </c>
      <c r="B23" s="40">
        <v>24.096249999999998</v>
      </c>
      <c r="C23" s="40">
        <v>24.967500000000001</v>
      </c>
      <c r="D23" s="40">
        <v>21.94875</v>
      </c>
      <c r="E23" s="40">
        <v>29.69166666666667</v>
      </c>
      <c r="F23" s="40">
        <v>38.332499999999996</v>
      </c>
      <c r="G23" s="41">
        <v>27.206666666666663</v>
      </c>
      <c r="H23" s="40">
        <v>28.436250000000001</v>
      </c>
      <c r="I23" s="40"/>
      <c r="J23" s="40"/>
      <c r="K23" s="40"/>
      <c r="L23" s="40"/>
      <c r="M23" s="41"/>
      <c r="N23" s="41"/>
      <c r="O23" s="42"/>
    </row>
    <row r="24" spans="1:15" x14ac:dyDescent="0.35">
      <c r="A24" s="118">
        <v>32933</v>
      </c>
      <c r="B24" s="40">
        <v>24.792500000000004</v>
      </c>
      <c r="C24" s="40">
        <v>26.136249999999997</v>
      </c>
      <c r="D24" s="40">
        <v>22.521249999999998</v>
      </c>
      <c r="E24" s="40">
        <v>29.987777777777776</v>
      </c>
      <c r="F24" s="40">
        <v>34.155000000000008</v>
      </c>
      <c r="G24" s="41">
        <v>31.111666666666665</v>
      </c>
      <c r="H24" s="40">
        <v>29.892500000000002</v>
      </c>
      <c r="I24" s="40"/>
      <c r="J24" s="40"/>
      <c r="K24" s="40"/>
      <c r="L24" s="40"/>
      <c r="M24" s="41"/>
      <c r="N24" s="41"/>
      <c r="O24" s="42"/>
    </row>
    <row r="25" spans="1:15" x14ac:dyDescent="0.35">
      <c r="A25" s="118">
        <v>32964</v>
      </c>
      <c r="B25" s="40">
        <v>26.1525</v>
      </c>
      <c r="C25" s="40">
        <v>26.216250000000002</v>
      </c>
      <c r="D25" s="40">
        <v>22.816250000000004</v>
      </c>
      <c r="E25" s="40">
        <v>30.115000000000002</v>
      </c>
      <c r="F25" s="40">
        <v>36.070624999999993</v>
      </c>
      <c r="G25" s="41">
        <v>28.981666666666666</v>
      </c>
      <c r="H25" s="40">
        <v>27.524999999999999</v>
      </c>
      <c r="I25" s="40"/>
      <c r="J25" s="40"/>
      <c r="K25" s="40"/>
      <c r="L25" s="40"/>
      <c r="M25" s="41"/>
      <c r="N25" s="41"/>
      <c r="O25" s="42"/>
    </row>
    <row r="26" spans="1:15" x14ac:dyDescent="0.35">
      <c r="A26" s="118">
        <v>32994</v>
      </c>
      <c r="B26" s="40">
        <v>24.731249999999999</v>
      </c>
      <c r="C26" s="40">
        <v>26.854999999999997</v>
      </c>
      <c r="D26" s="40">
        <v>23.166249999999998</v>
      </c>
      <c r="E26" s="40">
        <v>30.801111111111108</v>
      </c>
      <c r="F26" s="40">
        <v>35.302500000000002</v>
      </c>
      <c r="G26" s="41">
        <v>28.986111111111111</v>
      </c>
      <c r="H26" s="40">
        <v>27.618750000000002</v>
      </c>
      <c r="I26" s="40"/>
      <c r="J26" s="40"/>
      <c r="K26" s="40"/>
      <c r="L26" s="40"/>
      <c r="M26" s="41"/>
      <c r="N26" s="41"/>
      <c r="O26" s="42"/>
    </row>
    <row r="27" spans="1:15" x14ac:dyDescent="0.35">
      <c r="A27" s="118">
        <v>33025</v>
      </c>
      <c r="B27" s="40">
        <v>23.885000000000002</v>
      </c>
      <c r="C27" s="40">
        <v>26.043749999999999</v>
      </c>
      <c r="D27" s="40">
        <v>23.070000000000004</v>
      </c>
      <c r="E27" s="40">
        <v>30.738888888888887</v>
      </c>
      <c r="F27" s="40">
        <v>37.234999999999999</v>
      </c>
      <c r="G27" s="41">
        <v>28.238888888888891</v>
      </c>
      <c r="H27" s="40">
        <v>27.618749999999999</v>
      </c>
      <c r="I27" s="40"/>
      <c r="J27" s="40"/>
      <c r="K27" s="40"/>
      <c r="L27" s="40"/>
      <c r="M27" s="41"/>
      <c r="N27" s="41"/>
      <c r="O27" s="42"/>
    </row>
    <row r="28" spans="1:15" x14ac:dyDescent="0.35">
      <c r="A28" s="118">
        <v>33055</v>
      </c>
      <c r="B28" s="40">
        <v>24.294999999999998</v>
      </c>
      <c r="C28" s="40">
        <v>26.589999999999996</v>
      </c>
      <c r="D28" s="40">
        <v>22.797499999999999</v>
      </c>
      <c r="E28" s="40">
        <v>31.116666666666667</v>
      </c>
      <c r="F28" s="40">
        <v>35.865624999999994</v>
      </c>
      <c r="G28" s="41">
        <v>29.121111111111109</v>
      </c>
      <c r="H28" s="40">
        <v>26.534999999999997</v>
      </c>
      <c r="I28" s="40"/>
      <c r="J28" s="40"/>
      <c r="K28" s="40"/>
      <c r="L28" s="40"/>
      <c r="M28" s="41"/>
      <c r="N28" s="41"/>
      <c r="O28" s="42"/>
    </row>
    <row r="29" spans="1:15" x14ac:dyDescent="0.35">
      <c r="A29" s="118">
        <v>33086</v>
      </c>
      <c r="B29" s="40">
        <v>25.027500000000003</v>
      </c>
      <c r="C29" s="40">
        <v>25.671250000000001</v>
      </c>
      <c r="D29" s="40">
        <v>22.727500000000003</v>
      </c>
      <c r="E29" s="40">
        <v>30.626666666666665</v>
      </c>
      <c r="F29" s="40">
        <v>35.903750000000002</v>
      </c>
      <c r="G29" s="41">
        <v>28.203333333333333</v>
      </c>
      <c r="H29" s="40">
        <v>26.706249999999997</v>
      </c>
      <c r="I29" s="40"/>
      <c r="J29" s="40"/>
      <c r="K29" s="40"/>
      <c r="L29" s="40"/>
      <c r="M29" s="41"/>
      <c r="N29" s="41"/>
      <c r="O29" s="42"/>
    </row>
    <row r="30" spans="1:15" ht="15" thickBot="1" x14ac:dyDescent="0.4">
      <c r="A30" s="119">
        <v>33117</v>
      </c>
      <c r="B30" s="43">
        <v>25.06625</v>
      </c>
      <c r="C30" s="43">
        <v>26.231249999999999</v>
      </c>
      <c r="D30" s="43">
        <v>22.3475</v>
      </c>
      <c r="E30" s="43">
        <v>30.012222222222224</v>
      </c>
      <c r="F30" s="43">
        <v>31.929999999999996</v>
      </c>
      <c r="G30" s="44">
        <v>28.13</v>
      </c>
      <c r="H30" s="43">
        <v>24.22625</v>
      </c>
      <c r="I30" s="43"/>
      <c r="J30" s="43"/>
      <c r="K30" s="43"/>
      <c r="L30" s="43"/>
      <c r="M30" s="44"/>
      <c r="N30" s="44"/>
      <c r="O30" s="45"/>
    </row>
    <row r="31" spans="1:15" x14ac:dyDescent="0.35">
      <c r="A31" s="118">
        <v>33147</v>
      </c>
      <c r="B31" s="46">
        <v>25.976249999999997</v>
      </c>
      <c r="C31" s="46">
        <v>26.291249999999998</v>
      </c>
      <c r="D31" s="46">
        <v>22.978750000000002</v>
      </c>
      <c r="E31" s="46">
        <v>30.079444444444448</v>
      </c>
      <c r="F31" s="46">
        <v>32.285624999999996</v>
      </c>
      <c r="G31" s="47">
        <v>28.461111111111116</v>
      </c>
      <c r="H31" s="46">
        <v>23.893750000000001</v>
      </c>
      <c r="I31" s="40"/>
      <c r="J31" s="40"/>
      <c r="K31" s="40"/>
      <c r="L31" s="40"/>
      <c r="M31" s="41"/>
      <c r="N31" s="41"/>
      <c r="O31" s="42"/>
    </row>
    <row r="32" spans="1:15" x14ac:dyDescent="0.35">
      <c r="A32" s="118">
        <v>33178</v>
      </c>
      <c r="B32" s="46">
        <v>24.27</v>
      </c>
      <c r="C32" s="46">
        <v>25.201250000000002</v>
      </c>
      <c r="D32" s="46">
        <v>22.861249999999998</v>
      </c>
      <c r="E32" s="46">
        <v>29.683888888888887</v>
      </c>
      <c r="F32" s="46">
        <v>31.532500000000002</v>
      </c>
      <c r="G32" s="47">
        <v>27.97055555555556</v>
      </c>
      <c r="H32" s="46">
        <v>23.332499999999996</v>
      </c>
      <c r="I32" s="40"/>
      <c r="J32" s="40"/>
      <c r="K32" s="40"/>
      <c r="L32" s="40"/>
      <c r="M32" s="41"/>
      <c r="N32" s="41"/>
      <c r="O32" s="42"/>
    </row>
    <row r="33" spans="1:15" x14ac:dyDescent="0.35">
      <c r="A33" s="118">
        <v>33208</v>
      </c>
      <c r="B33" s="46">
        <v>24.7575</v>
      </c>
      <c r="C33" s="46">
        <v>25.43</v>
      </c>
      <c r="D33" s="46">
        <v>22.778571428571428</v>
      </c>
      <c r="E33" s="46">
        <v>30.021111111111111</v>
      </c>
      <c r="F33" s="46">
        <v>32.133749999999999</v>
      </c>
      <c r="G33" s="47">
        <v>28.467777777777783</v>
      </c>
      <c r="H33" s="46">
        <v>23.5975</v>
      </c>
      <c r="I33" s="40"/>
      <c r="J33" s="40"/>
      <c r="K33" s="40"/>
      <c r="L33" s="40"/>
      <c r="M33" s="41"/>
      <c r="N33" s="41"/>
      <c r="O33" s="42"/>
    </row>
    <row r="34" spans="1:15" x14ac:dyDescent="0.35">
      <c r="A34" s="118">
        <v>33239</v>
      </c>
      <c r="B34" s="46">
        <v>26.204999999999998</v>
      </c>
      <c r="C34" s="46">
        <v>26.1175</v>
      </c>
      <c r="D34" s="46">
        <v>24.578749999999999</v>
      </c>
      <c r="E34" s="46">
        <v>31.003888888888884</v>
      </c>
      <c r="F34" s="46">
        <v>36.465625000000003</v>
      </c>
      <c r="G34" s="47">
        <v>29.437777777777782</v>
      </c>
      <c r="H34" s="46">
        <v>29.078750000000003</v>
      </c>
      <c r="I34" s="40"/>
      <c r="J34" s="40"/>
      <c r="K34" s="40"/>
      <c r="L34" s="40"/>
      <c r="M34" s="41"/>
      <c r="N34" s="41"/>
      <c r="O34" s="42"/>
    </row>
    <row r="35" spans="1:15" x14ac:dyDescent="0.35">
      <c r="A35" s="118">
        <v>33270</v>
      </c>
      <c r="B35" s="46">
        <v>24.593750000000004</v>
      </c>
      <c r="C35" s="46">
        <v>24.765000000000004</v>
      </c>
      <c r="D35" s="46">
        <v>23.169999999999998</v>
      </c>
      <c r="E35" s="46">
        <v>29.830555555555559</v>
      </c>
      <c r="F35" s="46">
        <v>33.205625000000005</v>
      </c>
      <c r="G35" s="47">
        <v>28.603888888888889</v>
      </c>
      <c r="H35" s="46">
        <v>25.621250000000003</v>
      </c>
      <c r="I35" s="40"/>
      <c r="J35" s="40"/>
      <c r="K35" s="40"/>
      <c r="L35" s="40"/>
      <c r="M35" s="41"/>
      <c r="N35" s="41"/>
      <c r="O35" s="42"/>
    </row>
    <row r="36" spans="1:15" x14ac:dyDescent="0.35">
      <c r="A36" s="118">
        <v>33298</v>
      </c>
      <c r="B36" s="46">
        <v>24.921249999999997</v>
      </c>
      <c r="C36" s="46">
        <v>29.674999999999997</v>
      </c>
      <c r="D36" s="46">
        <v>26.849999999999998</v>
      </c>
      <c r="E36" s="46">
        <v>34.173333333333332</v>
      </c>
      <c r="F36" s="46">
        <v>41.350000000000009</v>
      </c>
      <c r="G36" s="47">
        <v>49.870555555555555</v>
      </c>
      <c r="H36" s="46">
        <v>38.178750000000001</v>
      </c>
      <c r="I36" s="40"/>
      <c r="J36" s="40"/>
      <c r="K36" s="40"/>
      <c r="L36" s="40"/>
      <c r="M36" s="41"/>
      <c r="N36" s="41"/>
      <c r="O36" s="42"/>
    </row>
    <row r="37" spans="1:15" x14ac:dyDescent="0.35">
      <c r="A37" s="118">
        <v>33329</v>
      </c>
      <c r="B37" s="46">
        <v>25.36375</v>
      </c>
      <c r="C37" s="46">
        <v>27.714999999999996</v>
      </c>
      <c r="D37" s="46">
        <v>24.337500000000002</v>
      </c>
      <c r="E37" s="46">
        <v>32.359444444444449</v>
      </c>
      <c r="F37" s="46">
        <v>37.556875000000005</v>
      </c>
      <c r="G37" s="47">
        <v>44.75277777777778</v>
      </c>
      <c r="H37" s="46">
        <v>28.745000000000001</v>
      </c>
      <c r="I37" s="40"/>
      <c r="J37" s="40"/>
      <c r="K37" s="40"/>
      <c r="L37" s="40"/>
      <c r="M37" s="41"/>
      <c r="N37" s="41"/>
      <c r="O37" s="42"/>
    </row>
    <row r="38" spans="1:15" x14ac:dyDescent="0.35">
      <c r="A38" s="118">
        <v>33359</v>
      </c>
      <c r="B38" s="46">
        <v>25.463750000000001</v>
      </c>
      <c r="C38" s="46">
        <v>26.84375</v>
      </c>
      <c r="D38" s="46">
        <v>23.756249999999998</v>
      </c>
      <c r="E38" s="46">
        <v>31.577777777777769</v>
      </c>
      <c r="F38" s="46">
        <v>35.869999999999997</v>
      </c>
      <c r="G38" s="47">
        <v>35.842777777777776</v>
      </c>
      <c r="H38" s="46">
        <v>24.895000000000003</v>
      </c>
      <c r="I38" s="40"/>
      <c r="J38" s="40"/>
      <c r="K38" s="40"/>
      <c r="L38" s="40"/>
      <c r="M38" s="41"/>
      <c r="N38" s="41"/>
      <c r="O38" s="42"/>
    </row>
    <row r="39" spans="1:15" x14ac:dyDescent="0.35">
      <c r="A39" s="118">
        <v>33390</v>
      </c>
      <c r="B39" s="46">
        <v>23.1325</v>
      </c>
      <c r="C39" s="46">
        <v>24.981249999999999</v>
      </c>
      <c r="D39" s="46">
        <v>20.947500000000002</v>
      </c>
      <c r="E39" s="46">
        <v>29.080555555555559</v>
      </c>
      <c r="F39" s="46">
        <v>31.899375000000003</v>
      </c>
      <c r="G39" s="47">
        <v>27.879444444444445</v>
      </c>
      <c r="H39" s="46">
        <v>28.968749999999996</v>
      </c>
      <c r="I39" s="40"/>
      <c r="J39" s="40"/>
      <c r="K39" s="40"/>
      <c r="L39" s="40"/>
      <c r="M39" s="41"/>
      <c r="N39" s="41"/>
      <c r="O39" s="42"/>
    </row>
    <row r="40" spans="1:15" x14ac:dyDescent="0.35">
      <c r="A40" s="118">
        <v>33420</v>
      </c>
      <c r="B40" s="46">
        <v>26.213750000000005</v>
      </c>
      <c r="C40" s="46">
        <v>26.6175</v>
      </c>
      <c r="D40" s="46">
        <v>21.732500000000002</v>
      </c>
      <c r="E40" s="46">
        <v>31.161666666666676</v>
      </c>
      <c r="F40" s="46">
        <v>32.525000000000006</v>
      </c>
      <c r="G40" s="47">
        <v>29.336111111111109</v>
      </c>
      <c r="H40" s="46">
        <v>25.21875</v>
      </c>
      <c r="I40" s="40"/>
      <c r="J40" s="40"/>
      <c r="K40" s="40"/>
      <c r="L40" s="40"/>
      <c r="M40" s="41"/>
      <c r="N40" s="41"/>
      <c r="O40" s="42"/>
    </row>
    <row r="41" spans="1:15" x14ac:dyDescent="0.35">
      <c r="A41" s="118">
        <v>33451</v>
      </c>
      <c r="B41" s="46">
        <v>26.871250000000003</v>
      </c>
      <c r="C41" s="46">
        <v>26.022500000000001</v>
      </c>
      <c r="D41" s="46">
        <v>20.9925</v>
      </c>
      <c r="E41" s="46">
        <v>30.646666666666672</v>
      </c>
      <c r="F41" s="46">
        <v>31.852499999999996</v>
      </c>
      <c r="G41" s="47">
        <v>28.872777777777781</v>
      </c>
      <c r="H41" s="46">
        <v>24.752499999999998</v>
      </c>
      <c r="I41" s="40"/>
      <c r="J41" s="40"/>
      <c r="K41" s="40"/>
      <c r="L41" s="40"/>
      <c r="M41" s="41"/>
      <c r="N41" s="41"/>
      <c r="O41" s="42"/>
    </row>
    <row r="42" spans="1:15" ht="15" thickBot="1" x14ac:dyDescent="0.4">
      <c r="A42" s="119">
        <v>33482</v>
      </c>
      <c r="B42" s="48">
        <v>28.996249999999996</v>
      </c>
      <c r="C42" s="48">
        <v>26.740000000000002</v>
      </c>
      <c r="D42" s="48">
        <v>22.201249999999998</v>
      </c>
      <c r="E42" s="48">
        <v>31.904444444444451</v>
      </c>
      <c r="F42" s="48">
        <v>32.839999999999996</v>
      </c>
      <c r="G42" s="49">
        <v>30.181666666666658</v>
      </c>
      <c r="H42" s="48">
        <v>25.903750000000002</v>
      </c>
      <c r="I42" s="43"/>
      <c r="J42" s="43"/>
      <c r="K42" s="43"/>
      <c r="L42" s="43"/>
      <c r="M42" s="44"/>
      <c r="N42" s="44"/>
      <c r="O42" s="45"/>
    </row>
    <row r="43" spans="1:15" x14ac:dyDescent="0.35">
      <c r="A43" s="118">
        <v>33512</v>
      </c>
      <c r="B43" s="46">
        <v>26.71125</v>
      </c>
      <c r="C43" s="46">
        <v>26.4175</v>
      </c>
      <c r="D43" s="46">
        <v>22.11</v>
      </c>
      <c r="E43" s="46">
        <v>31.959999999999997</v>
      </c>
      <c r="F43" s="46">
        <v>32.960625</v>
      </c>
      <c r="G43" s="47">
        <v>30.271666666666665</v>
      </c>
      <c r="H43" s="46">
        <v>26.091250000000002</v>
      </c>
      <c r="I43" s="40"/>
      <c r="J43" s="40"/>
      <c r="K43" s="40"/>
      <c r="L43" s="40"/>
      <c r="M43" s="41"/>
      <c r="N43" s="41"/>
      <c r="O43" s="42"/>
    </row>
    <row r="44" spans="1:15" x14ac:dyDescent="0.35">
      <c r="A44" s="118">
        <v>33543</v>
      </c>
      <c r="B44" s="46">
        <v>25.15</v>
      </c>
      <c r="C44" s="46">
        <v>25.946249999999999</v>
      </c>
      <c r="D44" s="46">
        <v>22.217500000000001</v>
      </c>
      <c r="E44" s="46">
        <v>31.402222222222221</v>
      </c>
      <c r="F44" s="46">
        <v>32.271249999999995</v>
      </c>
      <c r="G44" s="47">
        <v>29.80833333333333</v>
      </c>
      <c r="H44" s="46">
        <v>25.461250000000003</v>
      </c>
      <c r="I44" s="40"/>
      <c r="J44" s="40"/>
      <c r="K44" s="40"/>
      <c r="L44" s="40"/>
      <c r="M44" s="41"/>
      <c r="N44" s="41"/>
      <c r="O44" s="42"/>
    </row>
    <row r="45" spans="1:15" x14ac:dyDescent="0.35">
      <c r="A45" s="118">
        <v>33573</v>
      </c>
      <c r="B45" s="46">
        <v>24.817499999999995</v>
      </c>
      <c r="C45" s="46">
        <v>25.633749999999999</v>
      </c>
      <c r="D45" s="46">
        <v>22.251250000000002</v>
      </c>
      <c r="E45" s="46">
        <v>31.63666666666667</v>
      </c>
      <c r="F45" s="46">
        <v>32.135625000000005</v>
      </c>
      <c r="G45" s="47">
        <v>30.004999999999995</v>
      </c>
      <c r="H45" s="46">
        <v>26.347500000000004</v>
      </c>
      <c r="I45" s="40"/>
      <c r="J45" s="40"/>
      <c r="K45" s="40"/>
      <c r="L45" s="40"/>
      <c r="M45" s="41"/>
      <c r="N45" s="41"/>
      <c r="O45" s="42"/>
    </row>
    <row r="46" spans="1:15" x14ac:dyDescent="0.35">
      <c r="A46" s="118">
        <v>33604</v>
      </c>
      <c r="B46" s="46">
        <v>25.852499999999996</v>
      </c>
      <c r="C46" s="46">
        <v>28.736250000000002</v>
      </c>
      <c r="D46" s="46">
        <v>24.113750000000003</v>
      </c>
      <c r="E46" s="46">
        <v>33.397222222222219</v>
      </c>
      <c r="F46" s="46">
        <v>36.884375000000006</v>
      </c>
      <c r="G46" s="47">
        <v>31.323333333333338</v>
      </c>
      <c r="H46" s="46">
        <v>29.92</v>
      </c>
      <c r="I46" s="40"/>
      <c r="J46" s="40"/>
      <c r="K46" s="40"/>
      <c r="L46" s="40"/>
      <c r="M46" s="41"/>
      <c r="N46" s="41"/>
      <c r="O46" s="42"/>
    </row>
    <row r="47" spans="1:15" x14ac:dyDescent="0.35">
      <c r="A47" s="118">
        <v>33635</v>
      </c>
      <c r="B47" s="46">
        <v>31.467500000000005</v>
      </c>
      <c r="C47" s="46">
        <v>30.778749999999999</v>
      </c>
      <c r="D47" s="46">
        <v>26.308750000000003</v>
      </c>
      <c r="E47" s="46">
        <v>34.746111111111105</v>
      </c>
      <c r="F47" s="46">
        <v>40.390625000000007</v>
      </c>
      <c r="G47" s="47"/>
      <c r="H47" s="46">
        <v>37.305</v>
      </c>
      <c r="I47" s="40"/>
      <c r="J47" s="40"/>
      <c r="K47" s="40"/>
      <c r="L47" s="40"/>
      <c r="M47" s="41"/>
      <c r="N47" s="41"/>
      <c r="O47" s="42"/>
    </row>
    <row r="48" spans="1:15" x14ac:dyDescent="0.35">
      <c r="A48" s="118">
        <v>33664</v>
      </c>
      <c r="B48" s="46">
        <v>28.54</v>
      </c>
      <c r="C48" s="46">
        <v>29.634999999999998</v>
      </c>
      <c r="D48" s="46">
        <v>25.17625</v>
      </c>
      <c r="E48" s="46">
        <v>33.620555555555555</v>
      </c>
      <c r="F48" s="46">
        <v>39.396250000000002</v>
      </c>
      <c r="G48" s="47"/>
      <c r="H48" s="46">
        <v>33.1</v>
      </c>
      <c r="I48" s="40"/>
      <c r="J48" s="40"/>
      <c r="K48" s="40"/>
      <c r="L48" s="40"/>
      <c r="M48" s="41"/>
      <c r="N48" s="41"/>
      <c r="O48" s="42"/>
    </row>
    <row r="49" spans="1:15" x14ac:dyDescent="0.35">
      <c r="A49" s="118">
        <v>33695</v>
      </c>
      <c r="B49" s="46">
        <v>29.505000000000003</v>
      </c>
      <c r="C49" s="46">
        <v>31.491250000000001</v>
      </c>
      <c r="D49" s="46">
        <v>25.824999999999999</v>
      </c>
      <c r="E49" s="46">
        <v>33.771666666666668</v>
      </c>
      <c r="F49" s="46">
        <v>36.807499999999997</v>
      </c>
      <c r="G49" s="47">
        <v>32.902941176470598</v>
      </c>
      <c r="H49" s="46">
        <v>33.058750000000003</v>
      </c>
      <c r="I49" s="40"/>
      <c r="J49" s="40"/>
      <c r="K49" s="40"/>
      <c r="L49" s="40"/>
      <c r="M49" s="41"/>
      <c r="N49" s="41"/>
      <c r="O49" s="42"/>
    </row>
    <row r="50" spans="1:15" x14ac:dyDescent="0.35">
      <c r="A50" s="118">
        <v>33725</v>
      </c>
      <c r="B50" s="46">
        <v>26.144999999999996</v>
      </c>
      <c r="C50" s="46">
        <v>28.375</v>
      </c>
      <c r="D50" s="46">
        <v>24.361249999999998</v>
      </c>
      <c r="E50" s="46">
        <v>32.19777777777778</v>
      </c>
      <c r="F50" s="46">
        <v>34.418750000000003</v>
      </c>
      <c r="G50" s="47">
        <v>30.831666666666667</v>
      </c>
      <c r="H50" s="46">
        <v>29.440000000000005</v>
      </c>
      <c r="I50" s="40"/>
      <c r="J50" s="40"/>
      <c r="K50" s="40"/>
      <c r="L50" s="40"/>
      <c r="M50" s="41"/>
      <c r="N50" s="41"/>
      <c r="O50" s="42"/>
    </row>
    <row r="51" spans="1:15" x14ac:dyDescent="0.35">
      <c r="A51" s="118">
        <v>33756</v>
      </c>
      <c r="B51" s="46">
        <v>26.628749999999997</v>
      </c>
      <c r="C51" s="46">
        <v>27.573750000000004</v>
      </c>
      <c r="D51" s="46">
        <v>23.35</v>
      </c>
      <c r="E51" s="46">
        <v>31.663888888888884</v>
      </c>
      <c r="F51" s="46">
        <v>33.962499999999999</v>
      </c>
      <c r="G51" s="47">
        <v>30.655555555555559</v>
      </c>
      <c r="H51" s="46">
        <v>28.921249999999997</v>
      </c>
      <c r="I51" s="40"/>
      <c r="J51" s="40"/>
      <c r="K51" s="40"/>
      <c r="L51" s="40"/>
      <c r="M51" s="41"/>
      <c r="N51" s="41"/>
      <c r="O51" s="42"/>
    </row>
    <row r="52" spans="1:15" x14ac:dyDescent="0.35">
      <c r="A52" s="118">
        <v>33786</v>
      </c>
      <c r="B52" s="46">
        <v>27.582499999999996</v>
      </c>
      <c r="C52" s="46">
        <v>28.181249999999999</v>
      </c>
      <c r="D52" s="46">
        <v>23.509999999999998</v>
      </c>
      <c r="E52" s="46">
        <v>32.658888888888889</v>
      </c>
      <c r="F52" s="46">
        <v>34.905000000000001</v>
      </c>
      <c r="G52" s="47">
        <v>31.141111111111108</v>
      </c>
      <c r="H52" s="46">
        <v>28.892499999999995</v>
      </c>
      <c r="I52" s="40"/>
      <c r="J52" s="40"/>
      <c r="K52" s="40"/>
      <c r="L52" s="40"/>
      <c r="M52" s="41"/>
      <c r="N52" s="41"/>
      <c r="O52" s="42"/>
    </row>
    <row r="53" spans="1:15" x14ac:dyDescent="0.35">
      <c r="A53" s="118">
        <v>33817</v>
      </c>
      <c r="B53" s="46">
        <v>27.236249999999998</v>
      </c>
      <c r="C53" s="46">
        <v>27.887500000000003</v>
      </c>
      <c r="D53" s="46">
        <v>23.346250000000001</v>
      </c>
      <c r="E53" s="46">
        <v>32.568888888888893</v>
      </c>
      <c r="F53" s="46">
        <v>37.954999999999998</v>
      </c>
      <c r="G53" s="47">
        <v>30.04111111111111</v>
      </c>
      <c r="H53" s="46">
        <v>28.96125</v>
      </c>
      <c r="I53" s="40"/>
      <c r="J53" s="40"/>
      <c r="K53" s="40"/>
      <c r="L53" s="40"/>
      <c r="M53" s="41"/>
      <c r="N53" s="41"/>
      <c r="O53" s="42"/>
    </row>
    <row r="54" spans="1:15" ht="15" thickBot="1" x14ac:dyDescent="0.4">
      <c r="A54" s="119">
        <v>33848</v>
      </c>
      <c r="B54" s="48">
        <v>31.083750000000002</v>
      </c>
      <c r="C54" s="48">
        <v>27.076250000000002</v>
      </c>
      <c r="D54" s="48">
        <v>21.5075</v>
      </c>
      <c r="E54" s="48">
        <v>30.766666666666659</v>
      </c>
      <c r="F54" s="48">
        <v>33.262499999999996</v>
      </c>
      <c r="G54" s="49">
        <v>28.885000000000005</v>
      </c>
      <c r="H54" s="48">
        <v>26.382499999999997</v>
      </c>
      <c r="I54" s="43"/>
      <c r="J54" s="43"/>
      <c r="K54" s="43"/>
      <c r="L54" s="43"/>
      <c r="M54" s="44"/>
      <c r="N54" s="44"/>
      <c r="O54" s="45"/>
    </row>
    <row r="55" spans="1:15" x14ac:dyDescent="0.35">
      <c r="A55" s="118">
        <v>33878</v>
      </c>
      <c r="B55" s="46">
        <v>26.98</v>
      </c>
      <c r="C55" s="46">
        <v>26.567500000000003</v>
      </c>
      <c r="D55" s="46">
        <v>22.131250000000001</v>
      </c>
      <c r="E55" s="46">
        <v>31.519444444444453</v>
      </c>
      <c r="F55" s="46">
        <v>41.336875000000006</v>
      </c>
      <c r="G55" s="47">
        <v>30.415000000000003</v>
      </c>
      <c r="H55" s="46">
        <v>26.177500000000002</v>
      </c>
      <c r="I55" s="40"/>
      <c r="J55" s="40"/>
      <c r="K55" s="40"/>
      <c r="L55" s="40"/>
      <c r="M55" s="41"/>
      <c r="N55" s="41"/>
      <c r="O55" s="42"/>
    </row>
    <row r="56" spans="1:15" x14ac:dyDescent="0.35">
      <c r="A56" s="118">
        <v>33909</v>
      </c>
      <c r="B56" s="46">
        <v>26.145</v>
      </c>
      <c r="C56" s="46">
        <v>25.696249999999999</v>
      </c>
      <c r="D56" s="46">
        <v>23.0425</v>
      </c>
      <c r="E56" s="46">
        <v>31.452222222222222</v>
      </c>
      <c r="F56" s="46">
        <v>36.358125000000001</v>
      </c>
      <c r="G56" s="47">
        <v>30.48</v>
      </c>
      <c r="H56" s="46">
        <v>26.168750000000003</v>
      </c>
      <c r="I56" s="40"/>
      <c r="J56" s="40"/>
      <c r="K56" s="40"/>
      <c r="L56" s="40"/>
      <c r="M56" s="41"/>
      <c r="N56" s="41"/>
      <c r="O56" s="42"/>
    </row>
    <row r="57" spans="1:15" x14ac:dyDescent="0.35">
      <c r="A57" s="118">
        <v>33939</v>
      </c>
      <c r="B57" s="46">
        <v>27.479999999999997</v>
      </c>
      <c r="C57" s="46">
        <v>27.787500000000001</v>
      </c>
      <c r="D57" s="46">
        <v>24.62125</v>
      </c>
      <c r="E57" s="46">
        <v>33.203333333333326</v>
      </c>
      <c r="F57" s="46">
        <v>39.244375000000005</v>
      </c>
      <c r="G57" s="47">
        <v>31.834999999999997</v>
      </c>
      <c r="H57" s="46">
        <v>31.630000000000003</v>
      </c>
      <c r="I57" s="40"/>
      <c r="J57" s="40"/>
      <c r="K57" s="40"/>
      <c r="L57" s="40"/>
      <c r="M57" s="41"/>
      <c r="N57" s="41"/>
      <c r="O57" s="42"/>
    </row>
    <row r="58" spans="1:15" x14ac:dyDescent="0.35">
      <c r="A58" s="118">
        <v>33970</v>
      </c>
      <c r="B58" s="46">
        <v>39.682499999999997</v>
      </c>
      <c r="C58" s="46">
        <v>34.46875</v>
      </c>
      <c r="D58" s="46">
        <v>26.318749999999998</v>
      </c>
      <c r="E58" s="46">
        <v>34.958888888888893</v>
      </c>
      <c r="F58" s="46">
        <v>42.281874999999999</v>
      </c>
      <c r="G58" s="47"/>
      <c r="H58" s="46">
        <v>37.973749999999995</v>
      </c>
      <c r="I58" s="40"/>
      <c r="J58" s="40"/>
      <c r="K58" s="40"/>
      <c r="L58" s="40"/>
      <c r="M58" s="41"/>
      <c r="N58" s="41"/>
      <c r="O58" s="42"/>
    </row>
    <row r="59" spans="1:15" x14ac:dyDescent="0.35">
      <c r="A59" s="118">
        <v>34001</v>
      </c>
      <c r="B59" s="46">
        <v>31.373749999999998</v>
      </c>
      <c r="C59" s="46">
        <v>36.566249999999997</v>
      </c>
      <c r="D59" s="46">
        <v>25.909999999999997</v>
      </c>
      <c r="E59" s="46">
        <v>34.401666666666671</v>
      </c>
      <c r="F59" s="46">
        <v>39.623124999999995</v>
      </c>
      <c r="G59" s="47"/>
      <c r="H59" s="46">
        <v>37.466249999999995</v>
      </c>
      <c r="I59" s="40"/>
      <c r="J59" s="40"/>
      <c r="K59" s="40"/>
      <c r="L59" s="40"/>
      <c r="M59" s="41"/>
      <c r="N59" s="41"/>
      <c r="O59" s="42"/>
    </row>
    <row r="60" spans="1:15" x14ac:dyDescent="0.35">
      <c r="A60" s="118">
        <v>34029</v>
      </c>
      <c r="B60" s="46">
        <v>31.630000000000003</v>
      </c>
      <c r="C60" s="46">
        <v>34.752500000000005</v>
      </c>
      <c r="D60" s="46">
        <v>26.695</v>
      </c>
      <c r="E60" s="46">
        <v>35.552777777777777</v>
      </c>
      <c r="F60" s="46">
        <v>40.604374999999997</v>
      </c>
      <c r="G60" s="47">
        <v>40.629230769230766</v>
      </c>
      <c r="H60" s="46">
        <v>39.115000000000002</v>
      </c>
      <c r="I60" s="40"/>
      <c r="J60" s="40"/>
      <c r="K60" s="40"/>
      <c r="L60" s="40"/>
      <c r="M60" s="41"/>
      <c r="N60" s="41"/>
      <c r="O60" s="42"/>
    </row>
    <row r="61" spans="1:15" x14ac:dyDescent="0.35">
      <c r="A61" s="118">
        <v>34060</v>
      </c>
      <c r="B61" s="46">
        <v>27.267500000000002</v>
      </c>
      <c r="C61" s="46">
        <v>30.34375</v>
      </c>
      <c r="D61" s="46">
        <v>23.363750000000003</v>
      </c>
      <c r="E61" s="46">
        <v>31.162777777777777</v>
      </c>
      <c r="F61" s="46">
        <v>34.760624999999997</v>
      </c>
      <c r="G61" s="47">
        <v>29.779230769230768</v>
      </c>
      <c r="H61" s="46">
        <v>28.129999999999995</v>
      </c>
      <c r="I61" s="40"/>
      <c r="J61" s="40"/>
      <c r="K61" s="40"/>
      <c r="L61" s="40"/>
      <c r="M61" s="41"/>
      <c r="N61" s="41"/>
      <c r="O61" s="42"/>
    </row>
    <row r="62" spans="1:15" x14ac:dyDescent="0.35">
      <c r="A62" s="118">
        <v>34090</v>
      </c>
      <c r="B62" s="46">
        <v>29.423749999999998</v>
      </c>
      <c r="C62" s="46">
        <v>29.508749999999999</v>
      </c>
      <c r="D62" s="46">
        <v>24.256250000000001</v>
      </c>
      <c r="E62" s="46">
        <v>32.534999999999997</v>
      </c>
      <c r="F62" s="46">
        <v>35.838749999999997</v>
      </c>
      <c r="G62" s="47">
        <v>31.11</v>
      </c>
      <c r="H62" s="46">
        <v>28.51125</v>
      </c>
      <c r="I62" s="40"/>
      <c r="J62" s="40"/>
      <c r="K62" s="40"/>
      <c r="L62" s="40"/>
      <c r="M62" s="41"/>
      <c r="N62" s="41"/>
      <c r="O62" s="42"/>
    </row>
    <row r="63" spans="1:15" x14ac:dyDescent="0.35">
      <c r="A63" s="118">
        <v>34121</v>
      </c>
      <c r="B63" s="46">
        <v>29.812499999999996</v>
      </c>
      <c r="C63" s="46">
        <v>29.03125</v>
      </c>
      <c r="D63" s="46">
        <v>23.877500000000001</v>
      </c>
      <c r="E63" s="46">
        <v>32.948888888888888</v>
      </c>
      <c r="F63" s="46">
        <v>34.905624999999993</v>
      </c>
      <c r="G63" s="47">
        <v>31.589444444444439</v>
      </c>
      <c r="H63" s="46">
        <v>28.342500000000001</v>
      </c>
      <c r="I63" s="40"/>
      <c r="J63" s="40"/>
      <c r="K63" s="40"/>
      <c r="L63" s="40"/>
      <c r="M63" s="41"/>
      <c r="N63" s="41"/>
      <c r="O63" s="42"/>
    </row>
    <row r="64" spans="1:15" x14ac:dyDescent="0.35">
      <c r="A64" s="118">
        <v>34151</v>
      </c>
      <c r="B64" s="46">
        <v>26.372499999999995</v>
      </c>
      <c r="C64" s="46">
        <v>27.501249999999999</v>
      </c>
      <c r="D64" s="46">
        <v>22.491249999999997</v>
      </c>
      <c r="E64" s="46">
        <v>32.000555555555557</v>
      </c>
      <c r="F64" s="46">
        <v>34.933125000000004</v>
      </c>
      <c r="G64" s="47">
        <v>30.538333333333338</v>
      </c>
      <c r="H64" s="46">
        <v>27.360000000000003</v>
      </c>
      <c r="I64" s="40"/>
      <c r="J64" s="40"/>
      <c r="K64" s="40"/>
      <c r="L64" s="40"/>
      <c r="M64" s="41"/>
      <c r="N64" s="41"/>
      <c r="O64" s="42"/>
    </row>
    <row r="65" spans="1:15" x14ac:dyDescent="0.35">
      <c r="A65" s="118">
        <v>34182</v>
      </c>
      <c r="B65" s="46">
        <v>29.491250000000001</v>
      </c>
      <c r="C65" s="46">
        <v>27.36</v>
      </c>
      <c r="D65" s="46">
        <v>23.324999999999999</v>
      </c>
      <c r="E65" s="46">
        <v>32.191666666666663</v>
      </c>
      <c r="F65" s="46">
        <v>35.078124999999993</v>
      </c>
      <c r="G65" s="47">
        <v>30.888888888888896</v>
      </c>
      <c r="H65" s="46">
        <v>27.013749999999998</v>
      </c>
      <c r="I65" s="40"/>
      <c r="J65" s="40"/>
      <c r="K65" s="40"/>
      <c r="L65" s="40"/>
      <c r="M65" s="41"/>
      <c r="N65" s="41"/>
      <c r="O65" s="42"/>
    </row>
    <row r="66" spans="1:15" ht="15" thickBot="1" x14ac:dyDescent="0.4">
      <c r="A66" s="119">
        <v>34213</v>
      </c>
      <c r="B66" s="48">
        <v>28.11375</v>
      </c>
      <c r="C66" s="48">
        <v>27.142499999999998</v>
      </c>
      <c r="D66" s="48">
        <v>23.531250000000004</v>
      </c>
      <c r="E66" s="48">
        <v>32.064444444444447</v>
      </c>
      <c r="F66" s="48">
        <v>35.774374999999999</v>
      </c>
      <c r="G66" s="49">
        <v>30.86999999999999</v>
      </c>
      <c r="H66" s="48">
        <v>26.65625</v>
      </c>
      <c r="I66" s="43"/>
      <c r="J66" s="43"/>
      <c r="K66" s="43"/>
      <c r="L66" s="43"/>
      <c r="M66" s="44"/>
      <c r="N66" s="44"/>
      <c r="O66" s="45"/>
    </row>
    <row r="67" spans="1:15" x14ac:dyDescent="0.35">
      <c r="A67" s="118">
        <v>34243</v>
      </c>
      <c r="B67" s="46">
        <v>26.967500000000001</v>
      </c>
      <c r="C67" s="46">
        <v>28.636249999999997</v>
      </c>
      <c r="D67" s="46">
        <v>23.514999999999997</v>
      </c>
      <c r="E67" s="46">
        <v>32.034999999999997</v>
      </c>
      <c r="F67" s="46">
        <v>34.397499999999994</v>
      </c>
      <c r="G67" s="47">
        <v>30.424444444444443</v>
      </c>
      <c r="H67" s="46">
        <v>25.921250000000001</v>
      </c>
      <c r="I67" s="40"/>
      <c r="J67" s="40"/>
      <c r="K67" s="40"/>
      <c r="L67" s="40"/>
      <c r="M67" s="41"/>
      <c r="N67" s="41"/>
      <c r="O67" s="42"/>
    </row>
    <row r="68" spans="1:15" x14ac:dyDescent="0.35">
      <c r="A68" s="118">
        <v>34274</v>
      </c>
      <c r="B68" s="46">
        <v>25.976249999999997</v>
      </c>
      <c r="C68" s="46">
        <v>28.362500000000004</v>
      </c>
      <c r="D68" s="46">
        <v>23.58625</v>
      </c>
      <c r="E68" s="46">
        <v>31.725555555555552</v>
      </c>
      <c r="F68" s="46">
        <v>34.734999999999999</v>
      </c>
      <c r="G68" s="47">
        <v>30.265555555555554</v>
      </c>
      <c r="H68" s="46">
        <v>25.7075</v>
      </c>
      <c r="I68" s="40"/>
      <c r="J68" s="40"/>
      <c r="K68" s="40"/>
      <c r="L68" s="40"/>
      <c r="M68" s="41"/>
      <c r="N68" s="41"/>
      <c r="O68" s="42"/>
    </row>
    <row r="69" spans="1:15" x14ac:dyDescent="0.35">
      <c r="A69" s="118">
        <v>34304</v>
      </c>
      <c r="B69" s="46">
        <v>25.341249999999999</v>
      </c>
      <c r="C69" s="46">
        <v>27.753750000000004</v>
      </c>
      <c r="D69" s="46">
        <v>24.482499999999995</v>
      </c>
      <c r="E69" s="46">
        <v>31.751111111111111</v>
      </c>
      <c r="F69" s="46">
        <v>38.668750000000003</v>
      </c>
      <c r="G69" s="47">
        <v>30.008333333333333</v>
      </c>
      <c r="H69" s="46">
        <v>25.798749999999995</v>
      </c>
      <c r="I69" s="40"/>
      <c r="J69" s="40"/>
      <c r="K69" s="40"/>
      <c r="L69" s="40"/>
      <c r="M69" s="41"/>
      <c r="N69" s="41"/>
      <c r="O69" s="42"/>
    </row>
    <row r="70" spans="1:15" x14ac:dyDescent="0.35">
      <c r="A70" s="118">
        <v>34335</v>
      </c>
      <c r="B70" s="46">
        <v>25.693749999999998</v>
      </c>
      <c r="C70" s="46">
        <v>27.462500000000002</v>
      </c>
      <c r="D70" s="46">
        <v>24.483749999999997</v>
      </c>
      <c r="E70" s="46">
        <v>31.547777777777778</v>
      </c>
      <c r="F70" s="46">
        <v>40.177500000000002</v>
      </c>
      <c r="G70" s="47">
        <v>29.623888888888885</v>
      </c>
      <c r="H70" s="46">
        <v>25.692500000000003</v>
      </c>
      <c r="I70" s="40"/>
      <c r="J70" s="40"/>
      <c r="K70" s="40"/>
      <c r="L70" s="40"/>
      <c r="M70" s="41"/>
      <c r="N70" s="41"/>
      <c r="O70" s="42"/>
    </row>
    <row r="71" spans="1:15" x14ac:dyDescent="0.35">
      <c r="A71" s="118">
        <v>34366</v>
      </c>
      <c r="B71" s="46">
        <v>26.67625</v>
      </c>
      <c r="C71" s="46">
        <v>30.41375</v>
      </c>
      <c r="D71" s="46">
        <v>26.188750000000002</v>
      </c>
      <c r="E71" s="46">
        <v>33.202222222222225</v>
      </c>
      <c r="F71" s="46">
        <v>40.299999999999997</v>
      </c>
      <c r="G71" s="47">
        <v>34.841176470588231</v>
      </c>
      <c r="H71" s="46">
        <v>45.556249999999999</v>
      </c>
      <c r="I71" s="40"/>
      <c r="J71" s="40"/>
      <c r="K71" s="40"/>
      <c r="L71" s="40"/>
      <c r="M71" s="41"/>
      <c r="N71" s="41"/>
      <c r="O71" s="42"/>
    </row>
    <row r="72" spans="1:15" x14ac:dyDescent="0.35">
      <c r="A72" s="118">
        <v>34394</v>
      </c>
      <c r="B72" s="46">
        <v>27.696250000000003</v>
      </c>
      <c r="C72" s="46">
        <v>29.028750000000002</v>
      </c>
      <c r="D72" s="46">
        <v>25.28125</v>
      </c>
      <c r="E72" s="46">
        <v>33.413888888888884</v>
      </c>
      <c r="F72" s="46">
        <v>38.753749999999997</v>
      </c>
      <c r="G72" s="47">
        <v>31.673333333333339</v>
      </c>
      <c r="H72" s="46">
        <v>27.762499999999999</v>
      </c>
      <c r="I72" s="40"/>
      <c r="J72" s="40"/>
      <c r="K72" s="40"/>
      <c r="L72" s="40"/>
      <c r="M72" s="41"/>
      <c r="N72" s="41"/>
      <c r="O72" s="42"/>
    </row>
    <row r="73" spans="1:15" x14ac:dyDescent="0.35">
      <c r="A73" s="118">
        <v>34425</v>
      </c>
      <c r="B73" s="46">
        <v>29.373750000000001</v>
      </c>
      <c r="C73" s="46">
        <v>28.916249999999998</v>
      </c>
      <c r="D73" s="46">
        <v>25.427499999999998</v>
      </c>
      <c r="E73" s="46">
        <v>33.387222222222221</v>
      </c>
      <c r="F73" s="46">
        <v>38.753124999999997</v>
      </c>
      <c r="G73" s="47">
        <v>31.432222222222222</v>
      </c>
      <c r="H73" s="46">
        <v>30.13</v>
      </c>
      <c r="I73" s="40"/>
      <c r="J73" s="40"/>
      <c r="K73" s="40"/>
      <c r="L73" s="40"/>
      <c r="M73" s="41"/>
      <c r="N73" s="41"/>
      <c r="O73" s="42"/>
    </row>
    <row r="74" spans="1:15" x14ac:dyDescent="0.35">
      <c r="A74" s="118">
        <v>34455</v>
      </c>
      <c r="B74" s="46">
        <v>29.9925</v>
      </c>
      <c r="C74" s="46">
        <v>28.472500000000004</v>
      </c>
      <c r="D74" s="46">
        <v>24.947499999999998</v>
      </c>
      <c r="E74" s="46">
        <v>32.579444444444441</v>
      </c>
      <c r="F74" s="46">
        <v>36.820625</v>
      </c>
      <c r="G74" s="47">
        <v>30.837777777777767</v>
      </c>
      <c r="H74" s="46">
        <v>26.693750000000001</v>
      </c>
      <c r="I74" s="40"/>
      <c r="J74" s="40"/>
      <c r="K74" s="40"/>
      <c r="L74" s="40"/>
      <c r="M74" s="41"/>
      <c r="N74" s="41"/>
      <c r="O74" s="42"/>
    </row>
    <row r="75" spans="1:15" x14ac:dyDescent="0.35">
      <c r="A75" s="118">
        <v>34486</v>
      </c>
      <c r="B75" s="46">
        <v>28.307500000000001</v>
      </c>
      <c r="C75" s="46">
        <v>28.145</v>
      </c>
      <c r="D75" s="46">
        <v>24.563749999999999</v>
      </c>
      <c r="E75" s="46">
        <v>32.236111111111114</v>
      </c>
      <c r="F75" s="46">
        <v>40.080624999999991</v>
      </c>
      <c r="G75" s="47">
        <v>30.744444444444436</v>
      </c>
      <c r="H75" s="46">
        <v>26.552500000000002</v>
      </c>
      <c r="I75" s="40"/>
      <c r="J75" s="40"/>
      <c r="K75" s="40"/>
      <c r="L75" s="40"/>
      <c r="M75" s="41"/>
      <c r="N75" s="41"/>
      <c r="O75" s="42"/>
    </row>
    <row r="76" spans="1:15" x14ac:dyDescent="0.35">
      <c r="A76" s="118">
        <v>34516</v>
      </c>
      <c r="B76" s="46">
        <v>27.02</v>
      </c>
      <c r="C76" s="46">
        <v>28.555</v>
      </c>
      <c r="D76" s="46">
        <v>25.115000000000002</v>
      </c>
      <c r="E76" s="46">
        <v>32.768333333333338</v>
      </c>
      <c r="F76" s="46">
        <v>39.029374999999995</v>
      </c>
      <c r="G76" s="47">
        <v>31.205555555555559</v>
      </c>
      <c r="H76" s="46">
        <v>30.388749999999998</v>
      </c>
      <c r="I76" s="40"/>
      <c r="J76" s="40"/>
      <c r="K76" s="40"/>
      <c r="L76" s="40"/>
      <c r="M76" s="41"/>
      <c r="N76" s="41"/>
      <c r="O76" s="42"/>
    </row>
    <row r="77" spans="1:15" x14ac:dyDescent="0.35">
      <c r="A77" s="118">
        <v>34547</v>
      </c>
      <c r="B77" s="46">
        <v>27.222500000000004</v>
      </c>
      <c r="C77" s="46">
        <v>28.96</v>
      </c>
      <c r="D77" s="46">
        <v>25.668749999999999</v>
      </c>
      <c r="E77" s="46">
        <v>33.18666666666666</v>
      </c>
      <c r="F77" s="46">
        <v>38.151250000000005</v>
      </c>
      <c r="G77" s="47">
        <v>31.678888888888892</v>
      </c>
      <c r="H77" s="46">
        <v>29.377499999999998</v>
      </c>
      <c r="I77" s="40"/>
      <c r="J77" s="40"/>
      <c r="K77" s="40"/>
      <c r="L77" s="40"/>
      <c r="M77" s="41"/>
      <c r="N77" s="41"/>
      <c r="O77" s="42"/>
    </row>
    <row r="78" spans="1:15" ht="15" thickBot="1" x14ac:dyDescent="0.4">
      <c r="A78" s="119">
        <v>34578</v>
      </c>
      <c r="B78" s="48">
        <v>26.532499999999999</v>
      </c>
      <c r="C78" s="48">
        <v>27.892500000000002</v>
      </c>
      <c r="D78" s="48">
        <v>24.36375</v>
      </c>
      <c r="E78" s="48">
        <v>32.286111111111111</v>
      </c>
      <c r="F78" s="48">
        <v>37.480624999999989</v>
      </c>
      <c r="G78" s="49">
        <v>32.997500000000002</v>
      </c>
      <c r="H78" s="48">
        <v>26.826249999999998</v>
      </c>
      <c r="I78" s="43"/>
      <c r="J78" s="43"/>
      <c r="K78" s="43"/>
      <c r="L78" s="43"/>
      <c r="M78" s="44"/>
      <c r="N78" s="44"/>
      <c r="O78" s="45"/>
    </row>
    <row r="79" spans="1:15" x14ac:dyDescent="0.35">
      <c r="A79" s="118">
        <v>34608</v>
      </c>
      <c r="B79" s="46">
        <v>26.832500000000003</v>
      </c>
      <c r="C79" s="46">
        <v>27.957500000000003</v>
      </c>
      <c r="D79" s="46">
        <v>24.33625</v>
      </c>
      <c r="E79" s="46">
        <v>32.561111111111117</v>
      </c>
      <c r="F79" s="46">
        <v>38.443124999999995</v>
      </c>
      <c r="G79" s="47">
        <v>31.405625000000004</v>
      </c>
      <c r="H79" s="46">
        <v>26.767499999999998</v>
      </c>
      <c r="I79" s="40"/>
      <c r="J79" s="40"/>
      <c r="K79" s="40"/>
      <c r="L79" s="40"/>
      <c r="M79" s="41"/>
      <c r="N79" s="41"/>
      <c r="O79" s="42"/>
    </row>
    <row r="80" spans="1:15" x14ac:dyDescent="0.35">
      <c r="A80" s="118">
        <v>34639</v>
      </c>
      <c r="B80" s="46">
        <v>26.565000000000001</v>
      </c>
      <c r="C80" s="46">
        <v>27.536250000000003</v>
      </c>
      <c r="D80" s="46">
        <v>23.37</v>
      </c>
      <c r="E80" s="46">
        <v>32.142777777777781</v>
      </c>
      <c r="F80" s="46">
        <v>35.75</v>
      </c>
      <c r="G80" s="47">
        <v>31.170555555555552</v>
      </c>
      <c r="H80" s="46">
        <v>26.749999999999996</v>
      </c>
      <c r="I80" s="40"/>
      <c r="J80" s="40"/>
      <c r="K80" s="40"/>
      <c r="L80" s="40"/>
      <c r="M80" s="41"/>
      <c r="N80" s="41"/>
      <c r="O80" s="42"/>
    </row>
    <row r="81" spans="1:15" x14ac:dyDescent="0.35">
      <c r="A81" s="118">
        <v>34669</v>
      </c>
      <c r="B81" s="50">
        <v>25.368750000000002</v>
      </c>
      <c r="C81" s="50">
        <v>26.80875</v>
      </c>
      <c r="D81" s="50">
        <v>22.747500000000002</v>
      </c>
      <c r="E81" s="50">
        <v>31.453333333333333</v>
      </c>
      <c r="F81" s="50">
        <v>36.903749999999995</v>
      </c>
      <c r="G81" s="47">
        <v>30.586111111111116</v>
      </c>
      <c r="H81" s="50">
        <v>25.92</v>
      </c>
      <c r="I81" s="51"/>
      <c r="J81" s="51"/>
      <c r="K81" s="51"/>
      <c r="L81" s="51"/>
      <c r="M81" s="41"/>
      <c r="N81" s="41"/>
      <c r="O81" s="42"/>
    </row>
    <row r="82" spans="1:15" x14ac:dyDescent="0.35">
      <c r="A82" s="118">
        <v>34700</v>
      </c>
      <c r="B82" s="50">
        <v>33.653750000000002</v>
      </c>
      <c r="C82" s="50">
        <v>29.936249999999998</v>
      </c>
      <c r="D82" s="50">
        <v>25.48875</v>
      </c>
      <c r="E82" s="50">
        <v>34.43833333333334</v>
      </c>
      <c r="F82" s="50">
        <v>39.836874999999999</v>
      </c>
      <c r="G82" s="47">
        <v>32.321538461538466</v>
      </c>
      <c r="H82" s="50">
        <v>41.291249999999998</v>
      </c>
      <c r="I82" s="51"/>
      <c r="J82" s="51"/>
      <c r="K82" s="51"/>
      <c r="L82" s="51"/>
      <c r="M82" s="41"/>
      <c r="N82" s="41"/>
      <c r="O82" s="42"/>
    </row>
    <row r="83" spans="1:15" x14ac:dyDescent="0.35">
      <c r="A83" s="118">
        <v>34731</v>
      </c>
      <c r="B83" s="50">
        <v>33.948749999999997</v>
      </c>
      <c r="C83" s="50">
        <v>29.662499999999998</v>
      </c>
      <c r="D83" s="50">
        <v>25.17</v>
      </c>
      <c r="E83" s="50">
        <v>34.672222222222231</v>
      </c>
      <c r="F83" s="50">
        <v>39.951249999999995</v>
      </c>
      <c r="G83" s="47">
        <v>33.798749999999991</v>
      </c>
      <c r="H83" s="50">
        <v>40.292499999999997</v>
      </c>
      <c r="I83" s="51"/>
      <c r="J83" s="51"/>
      <c r="K83" s="51"/>
      <c r="L83" s="51"/>
      <c r="M83" s="41"/>
      <c r="N83" s="41"/>
      <c r="O83" s="42"/>
    </row>
    <row r="84" spans="1:15" x14ac:dyDescent="0.35">
      <c r="A84" s="118">
        <v>34759</v>
      </c>
      <c r="B84" s="50">
        <v>35.78125</v>
      </c>
      <c r="C84" s="50">
        <v>34.756250000000001</v>
      </c>
      <c r="D84" s="50">
        <v>26.1525</v>
      </c>
      <c r="E84" s="50">
        <v>34.923888888888889</v>
      </c>
      <c r="F84" s="50">
        <v>40.246874999999996</v>
      </c>
      <c r="G84" s="47">
        <v>33.932499999999997</v>
      </c>
      <c r="H84" s="50">
        <v>44.153750000000002</v>
      </c>
      <c r="I84" s="51"/>
      <c r="J84" s="51"/>
      <c r="K84" s="51"/>
      <c r="L84" s="51"/>
      <c r="M84" s="41"/>
      <c r="N84" s="41"/>
      <c r="O84" s="42"/>
    </row>
    <row r="85" spans="1:15" x14ac:dyDescent="0.35">
      <c r="A85" s="118">
        <v>34790</v>
      </c>
      <c r="B85" s="50">
        <v>31.903750000000002</v>
      </c>
      <c r="C85" s="50">
        <v>29.202500000000001</v>
      </c>
      <c r="D85" s="50">
        <v>25.03875</v>
      </c>
      <c r="E85" s="50">
        <v>33.240555555555552</v>
      </c>
      <c r="F85" s="50">
        <v>39.415000000000006</v>
      </c>
      <c r="G85" s="47">
        <v>31.847058823529409</v>
      </c>
      <c r="H85" s="50">
        <v>29.861250000000002</v>
      </c>
      <c r="I85" s="51"/>
      <c r="J85" s="51"/>
      <c r="K85" s="51"/>
      <c r="L85" s="51"/>
      <c r="M85" s="41"/>
      <c r="N85" s="41"/>
      <c r="O85" s="42"/>
    </row>
    <row r="86" spans="1:15" x14ac:dyDescent="0.35">
      <c r="A86" s="118">
        <v>34820</v>
      </c>
      <c r="B86" s="50">
        <v>31.113749999999996</v>
      </c>
      <c r="C86" s="50">
        <v>28.637499999999999</v>
      </c>
      <c r="D86" s="50">
        <v>24.888749999999998</v>
      </c>
      <c r="E86" s="50">
        <v>32.896111111111111</v>
      </c>
      <c r="F86" s="50">
        <v>40.094999999999999</v>
      </c>
      <c r="G86" s="47">
        <v>31.39</v>
      </c>
      <c r="H86" s="50">
        <v>26.69125</v>
      </c>
      <c r="I86" s="51"/>
      <c r="J86" s="51"/>
      <c r="K86" s="51"/>
      <c r="L86" s="51"/>
      <c r="M86" s="41"/>
      <c r="N86" s="41"/>
      <c r="O86" s="42"/>
    </row>
    <row r="87" spans="1:15" x14ac:dyDescent="0.35">
      <c r="A87" s="118">
        <v>34851</v>
      </c>
      <c r="B87" s="50">
        <v>29.085000000000001</v>
      </c>
      <c r="C87" s="50">
        <v>27.563749999999999</v>
      </c>
      <c r="D87" s="50">
        <v>24.311249999999998</v>
      </c>
      <c r="E87" s="50">
        <v>32.253888888888888</v>
      </c>
      <c r="F87" s="50">
        <v>37.386875000000003</v>
      </c>
      <c r="G87" s="47">
        <v>32.685000000000009</v>
      </c>
      <c r="H87" s="50">
        <v>26.069999999999997</v>
      </c>
      <c r="I87" s="51"/>
      <c r="J87" s="51"/>
      <c r="K87" s="51"/>
      <c r="L87" s="51"/>
      <c r="M87" s="41"/>
      <c r="N87" s="41"/>
      <c r="O87" s="42"/>
    </row>
    <row r="88" spans="1:15" x14ac:dyDescent="0.35">
      <c r="A88" s="118">
        <v>34881</v>
      </c>
      <c r="B88" s="50">
        <v>26.857500000000002</v>
      </c>
      <c r="C88" s="50">
        <v>27.35</v>
      </c>
      <c r="D88" s="50">
        <v>23.283750000000001</v>
      </c>
      <c r="E88" s="50">
        <v>32.161666666666669</v>
      </c>
      <c r="F88" s="50">
        <v>38.145000000000003</v>
      </c>
      <c r="G88" s="47">
        <v>30.492222222222225</v>
      </c>
      <c r="H88" s="50">
        <v>26.064999999999998</v>
      </c>
      <c r="I88" s="51"/>
      <c r="J88" s="51"/>
      <c r="K88" s="51"/>
      <c r="L88" s="51"/>
      <c r="M88" s="41"/>
      <c r="N88" s="41"/>
      <c r="O88" s="42"/>
    </row>
    <row r="89" spans="1:15" x14ac:dyDescent="0.35">
      <c r="A89" s="118">
        <v>34912</v>
      </c>
      <c r="B89" s="50">
        <v>26.453749999999996</v>
      </c>
      <c r="C89" s="50">
        <v>26.952499999999997</v>
      </c>
      <c r="D89" s="50">
        <v>23.203749999999999</v>
      </c>
      <c r="E89" s="50">
        <v>31.885555555555559</v>
      </c>
      <c r="F89" s="50">
        <v>36.158749999999998</v>
      </c>
      <c r="G89" s="47">
        <v>30.587222222222223</v>
      </c>
      <c r="H89" s="50">
        <v>25.99625</v>
      </c>
      <c r="I89" s="51"/>
      <c r="J89" s="51"/>
      <c r="K89" s="51"/>
      <c r="L89" s="51"/>
      <c r="M89" s="41"/>
      <c r="N89" s="41"/>
      <c r="O89" s="42"/>
    </row>
    <row r="90" spans="1:15" ht="15" thickBot="1" x14ac:dyDescent="0.4">
      <c r="A90" s="119">
        <v>34943</v>
      </c>
      <c r="B90" s="52">
        <v>26.717500000000001</v>
      </c>
      <c r="C90" s="52">
        <v>26.983750000000001</v>
      </c>
      <c r="D90" s="52">
        <v>23.74625</v>
      </c>
      <c r="E90" s="52">
        <v>31.83722222222222</v>
      </c>
      <c r="F90" s="52">
        <v>34.736249999999998</v>
      </c>
      <c r="G90" s="49">
        <v>30.365555555555559</v>
      </c>
      <c r="H90" s="52">
        <v>25.945</v>
      </c>
      <c r="I90" s="53"/>
      <c r="J90" s="53"/>
      <c r="K90" s="53"/>
      <c r="L90" s="53"/>
      <c r="M90" s="44"/>
      <c r="N90" s="44"/>
      <c r="O90" s="45"/>
    </row>
    <row r="91" spans="1:15" x14ac:dyDescent="0.35">
      <c r="A91" s="118">
        <v>34973</v>
      </c>
      <c r="B91" s="54">
        <v>26.245000000000001</v>
      </c>
      <c r="C91" s="54">
        <v>26.206249999999997</v>
      </c>
      <c r="D91" s="54">
        <v>24.110000000000003</v>
      </c>
      <c r="E91" s="54">
        <v>31.35777777777778</v>
      </c>
      <c r="F91" s="54">
        <v>33.643124999999998</v>
      </c>
      <c r="G91" s="47">
        <v>29.821666666666665</v>
      </c>
      <c r="H91" s="54">
        <v>25.141250000000003</v>
      </c>
      <c r="I91" s="55"/>
      <c r="J91" s="55"/>
      <c r="K91" s="55"/>
      <c r="L91" s="55"/>
      <c r="M91" s="56"/>
      <c r="N91" s="56"/>
      <c r="O91" s="57"/>
    </row>
    <row r="92" spans="1:15" x14ac:dyDescent="0.35">
      <c r="A92" s="118">
        <v>35004</v>
      </c>
      <c r="B92" s="58">
        <v>26.823749999999997</v>
      </c>
      <c r="C92" s="58">
        <v>26.583749999999998</v>
      </c>
      <c r="D92" s="58">
        <v>24.472499999999997</v>
      </c>
      <c r="E92" s="58">
        <v>31.496666666666663</v>
      </c>
      <c r="F92" s="58">
        <v>33.994375000000005</v>
      </c>
      <c r="G92" s="47">
        <v>30.180555555555557</v>
      </c>
      <c r="H92" s="58">
        <v>25.436250000000001</v>
      </c>
      <c r="I92" s="59"/>
      <c r="J92" s="59"/>
      <c r="K92" s="59"/>
      <c r="L92" s="59"/>
      <c r="M92" s="56"/>
      <c r="N92" s="56"/>
      <c r="O92" s="57"/>
    </row>
    <row r="93" spans="1:15" x14ac:dyDescent="0.35">
      <c r="A93" s="118">
        <v>35034</v>
      </c>
      <c r="B93" s="58">
        <v>27.068750000000001</v>
      </c>
      <c r="C93" s="58">
        <v>25.787499999999998</v>
      </c>
      <c r="D93" s="58">
        <v>23.954999999999998</v>
      </c>
      <c r="E93" s="58">
        <v>30.324444444444453</v>
      </c>
      <c r="F93" s="58">
        <v>38.300000000000004</v>
      </c>
      <c r="G93" s="47">
        <v>29.028888888888886</v>
      </c>
      <c r="H93" s="58">
        <v>24.58</v>
      </c>
      <c r="I93" s="59"/>
      <c r="J93" s="59"/>
      <c r="K93" s="59"/>
      <c r="L93" s="59"/>
      <c r="M93" s="56"/>
      <c r="N93" s="56"/>
      <c r="O93" s="57"/>
    </row>
    <row r="94" spans="1:15" x14ac:dyDescent="0.35">
      <c r="A94" s="118">
        <v>35065</v>
      </c>
      <c r="B94" s="58">
        <v>26.272500000000001</v>
      </c>
      <c r="C94" s="58">
        <v>27.708749999999998</v>
      </c>
      <c r="D94" s="58">
        <v>25.327499999999997</v>
      </c>
      <c r="E94" s="58">
        <v>31.847222222222221</v>
      </c>
      <c r="F94" s="58">
        <v>36.746875000000003</v>
      </c>
      <c r="G94" s="47">
        <v>30.572222222222226</v>
      </c>
      <c r="H94" s="58">
        <v>26.132499999999997</v>
      </c>
      <c r="I94" s="59"/>
      <c r="J94" s="59"/>
      <c r="K94" s="59"/>
      <c r="L94" s="59"/>
      <c r="M94" s="56"/>
      <c r="N94" s="56"/>
      <c r="O94" s="57"/>
    </row>
    <row r="95" spans="1:15" x14ac:dyDescent="0.35">
      <c r="A95" s="118">
        <v>35096</v>
      </c>
      <c r="B95" s="58">
        <v>26.626249999999999</v>
      </c>
      <c r="C95" s="58">
        <v>28.188750000000002</v>
      </c>
      <c r="D95" s="58">
        <v>25.032499999999999</v>
      </c>
      <c r="E95" s="58">
        <v>33.013888888888886</v>
      </c>
      <c r="F95" s="58">
        <v>38.466250000000002</v>
      </c>
      <c r="G95" s="47">
        <v>31.74666666666667</v>
      </c>
      <c r="H95" s="58">
        <v>30.185000000000002</v>
      </c>
      <c r="I95" s="59"/>
      <c r="J95" s="59"/>
      <c r="K95" s="59"/>
      <c r="L95" s="59"/>
      <c r="M95" s="56"/>
      <c r="N95" s="56"/>
      <c r="O95" s="57"/>
    </row>
    <row r="96" spans="1:15" x14ac:dyDescent="0.35">
      <c r="A96" s="118">
        <v>35125</v>
      </c>
      <c r="B96" s="58">
        <v>26.736250000000002</v>
      </c>
      <c r="C96" s="58">
        <v>25.896250000000002</v>
      </c>
      <c r="D96" s="58">
        <v>24.993750000000002</v>
      </c>
      <c r="E96" s="58">
        <v>33.38666666666667</v>
      </c>
      <c r="F96" s="58">
        <v>39.386874999999996</v>
      </c>
      <c r="G96" s="47">
        <v>32.858823529411765</v>
      </c>
      <c r="H96" s="58">
        <v>36.195</v>
      </c>
      <c r="I96" s="59"/>
      <c r="J96" s="59"/>
      <c r="K96" s="59"/>
      <c r="L96" s="59"/>
      <c r="M96" s="56"/>
      <c r="N96" s="56"/>
      <c r="O96" s="57"/>
    </row>
    <row r="97" spans="1:15" x14ac:dyDescent="0.35">
      <c r="A97" s="118">
        <v>35156</v>
      </c>
      <c r="B97" s="58">
        <v>27.311250000000001</v>
      </c>
      <c r="C97" s="58">
        <v>27.943750000000001</v>
      </c>
      <c r="D97" s="58">
        <v>24.104999999999997</v>
      </c>
      <c r="E97" s="58">
        <v>32.473888888888887</v>
      </c>
      <c r="F97" s="58">
        <v>40.103749999999998</v>
      </c>
      <c r="G97" s="47">
        <v>30.986470588235292</v>
      </c>
      <c r="H97" s="58">
        <v>26.752500000000001</v>
      </c>
      <c r="I97" s="59"/>
      <c r="J97" s="59"/>
      <c r="K97" s="59"/>
      <c r="L97" s="59"/>
      <c r="M97" s="56"/>
      <c r="N97" s="56"/>
      <c r="O97" s="57"/>
    </row>
    <row r="98" spans="1:15" x14ac:dyDescent="0.35">
      <c r="A98" s="118">
        <v>35186</v>
      </c>
      <c r="B98" s="58">
        <v>29.900000000000002</v>
      </c>
      <c r="C98" s="58">
        <v>26.713750000000001</v>
      </c>
      <c r="D98" s="58">
        <v>22.993750000000002</v>
      </c>
      <c r="E98" s="58">
        <v>31.341111111111111</v>
      </c>
      <c r="F98" s="58">
        <v>37.975000000000001</v>
      </c>
      <c r="G98" s="47">
        <v>29.857222222222227</v>
      </c>
      <c r="H98" s="58">
        <v>25.667499999999997</v>
      </c>
      <c r="I98" s="59"/>
      <c r="J98" s="59"/>
      <c r="K98" s="59"/>
      <c r="L98" s="59"/>
      <c r="M98" s="56"/>
      <c r="N98" s="56"/>
      <c r="O98" s="57"/>
    </row>
    <row r="99" spans="1:15" x14ac:dyDescent="0.35">
      <c r="A99" s="118">
        <v>35217</v>
      </c>
      <c r="B99" s="58">
        <v>27.001250000000002</v>
      </c>
      <c r="C99" s="58">
        <v>27.108750000000001</v>
      </c>
      <c r="D99" s="58">
        <v>23.0425</v>
      </c>
      <c r="E99" s="58">
        <v>31.722777777777772</v>
      </c>
      <c r="F99" s="58">
        <v>38.254374999999996</v>
      </c>
      <c r="G99" s="47">
        <v>30.812777777777772</v>
      </c>
      <c r="H99" s="58">
        <v>26.162499999999998</v>
      </c>
      <c r="I99" s="59"/>
      <c r="J99" s="59"/>
      <c r="K99" s="59"/>
      <c r="L99" s="59"/>
      <c r="M99" s="56"/>
      <c r="N99" s="56"/>
      <c r="O99" s="57"/>
    </row>
    <row r="100" spans="1:15" x14ac:dyDescent="0.35">
      <c r="A100" s="118">
        <v>35247</v>
      </c>
      <c r="B100" s="58">
        <v>25.616250000000001</v>
      </c>
      <c r="C100" s="58">
        <v>26.335000000000004</v>
      </c>
      <c r="D100" s="58">
        <v>22.16375</v>
      </c>
      <c r="E100" s="58">
        <v>31.349999999999998</v>
      </c>
      <c r="F100" s="58">
        <v>37.456874999999997</v>
      </c>
      <c r="G100" s="47">
        <v>30.466111111111104</v>
      </c>
      <c r="H100" s="58">
        <v>25.831249999999997</v>
      </c>
      <c r="I100" s="59"/>
      <c r="J100" s="59"/>
      <c r="K100" s="59"/>
      <c r="L100" s="59"/>
      <c r="M100" s="56"/>
      <c r="N100" s="56"/>
      <c r="O100" s="57"/>
    </row>
    <row r="101" spans="1:15" x14ac:dyDescent="0.35">
      <c r="A101" s="118">
        <v>35278</v>
      </c>
      <c r="B101" s="58">
        <v>25.613749999999996</v>
      </c>
      <c r="C101" s="58">
        <v>25.501249999999999</v>
      </c>
      <c r="D101" s="58">
        <v>21.673749999999998</v>
      </c>
      <c r="E101" s="58">
        <v>31.225555555555559</v>
      </c>
      <c r="F101" s="58">
        <v>35.450000000000003</v>
      </c>
      <c r="G101" s="47">
        <v>30.428444444444452</v>
      </c>
      <c r="H101" s="58">
        <v>25.122499999999999</v>
      </c>
      <c r="I101" s="59"/>
      <c r="J101" s="59"/>
      <c r="K101" s="59"/>
      <c r="L101" s="59"/>
      <c r="M101" s="56"/>
      <c r="N101" s="56"/>
      <c r="O101" s="57"/>
    </row>
    <row r="102" spans="1:15" ht="15" thickBot="1" x14ac:dyDescent="0.4">
      <c r="A102" s="119">
        <v>35309</v>
      </c>
      <c r="B102" s="60">
        <v>27.596250000000001</v>
      </c>
      <c r="C102" s="60">
        <v>25.910000000000004</v>
      </c>
      <c r="D102" s="60">
        <v>21.939999999999998</v>
      </c>
      <c r="E102" s="60">
        <v>31.781111111111109</v>
      </c>
      <c r="F102" s="60">
        <v>38.650000000000006</v>
      </c>
      <c r="G102" s="49">
        <v>31.132222222222229</v>
      </c>
      <c r="H102" s="60">
        <v>25.456249999999997</v>
      </c>
      <c r="I102" s="63"/>
      <c r="J102" s="63"/>
      <c r="K102" s="63"/>
      <c r="L102" s="63"/>
      <c r="M102" s="64"/>
      <c r="N102" s="64"/>
      <c r="O102" s="61"/>
    </row>
    <row r="103" spans="1:15" x14ac:dyDescent="0.35">
      <c r="A103" s="118">
        <v>35339</v>
      </c>
      <c r="B103" s="58">
        <v>26.685000000000002</v>
      </c>
      <c r="C103" s="58">
        <v>25</v>
      </c>
      <c r="D103" s="58">
        <v>21.424999999999997</v>
      </c>
      <c r="E103" s="58">
        <v>31.004444444444445</v>
      </c>
      <c r="F103" s="58">
        <v>35.865624999999994</v>
      </c>
      <c r="G103" s="47">
        <v>30.397777777777776</v>
      </c>
      <c r="H103" s="58">
        <v>25.156250000000004</v>
      </c>
      <c r="I103" s="59"/>
      <c r="J103" s="59"/>
      <c r="K103" s="59"/>
      <c r="L103" s="59"/>
      <c r="M103" s="56"/>
      <c r="N103" s="56"/>
      <c r="O103" s="57"/>
    </row>
    <row r="104" spans="1:15" x14ac:dyDescent="0.35">
      <c r="A104" s="118">
        <v>35370</v>
      </c>
      <c r="B104" s="58">
        <v>26.185000000000002</v>
      </c>
      <c r="C104" s="58">
        <v>24.52375</v>
      </c>
      <c r="D104" s="58">
        <v>20.883749999999999</v>
      </c>
      <c r="E104" s="58">
        <v>32.981666666666669</v>
      </c>
      <c r="F104" s="58">
        <v>36.243124999999992</v>
      </c>
      <c r="G104" s="47">
        <v>30.119444444444444</v>
      </c>
      <c r="H104" s="58">
        <v>27.078749999999999</v>
      </c>
      <c r="I104" s="59"/>
      <c r="J104" s="59"/>
      <c r="K104" s="59"/>
      <c r="L104" s="59"/>
      <c r="M104" s="56"/>
      <c r="N104" s="56"/>
      <c r="O104" s="57"/>
    </row>
    <row r="105" spans="1:15" x14ac:dyDescent="0.35">
      <c r="A105" s="118">
        <v>35400</v>
      </c>
      <c r="B105" s="58">
        <v>26.90625</v>
      </c>
      <c r="C105" s="58">
        <v>29.03</v>
      </c>
      <c r="D105" s="58">
        <v>23.027499999999996</v>
      </c>
      <c r="E105" s="58">
        <v>34.689444444444447</v>
      </c>
      <c r="F105" s="58">
        <v>39.718124999999993</v>
      </c>
      <c r="G105" s="47">
        <v>33.289375</v>
      </c>
      <c r="H105" s="58">
        <v>41.293750000000003</v>
      </c>
      <c r="I105" s="59"/>
      <c r="J105" s="59"/>
      <c r="K105" s="59"/>
      <c r="L105" s="59"/>
      <c r="M105" s="56"/>
      <c r="N105" s="56"/>
      <c r="O105" s="57"/>
    </row>
    <row r="106" spans="1:15" x14ac:dyDescent="0.35">
      <c r="A106" s="118">
        <v>35431</v>
      </c>
      <c r="B106" s="58">
        <v>33.008749999999999</v>
      </c>
      <c r="C106" s="58">
        <v>30.717500000000001</v>
      </c>
      <c r="D106" s="58">
        <v>24.756250000000005</v>
      </c>
      <c r="E106" s="58">
        <v>36.642777777777773</v>
      </c>
      <c r="F106" s="58">
        <v>39.638749999999995</v>
      </c>
      <c r="G106" s="47">
        <v>33.191874999999996</v>
      </c>
      <c r="H106" s="58">
        <v>45.775000000000006</v>
      </c>
      <c r="I106" s="59"/>
      <c r="J106" s="59"/>
      <c r="K106" s="59"/>
      <c r="L106" s="59"/>
      <c r="M106" s="56"/>
      <c r="N106" s="56"/>
      <c r="O106" s="57"/>
    </row>
    <row r="107" spans="1:15" x14ac:dyDescent="0.35">
      <c r="A107" s="118">
        <v>35462</v>
      </c>
      <c r="B107" s="58">
        <v>33.033749999999998</v>
      </c>
      <c r="C107" s="58">
        <v>32.173749999999998</v>
      </c>
      <c r="D107" s="58">
        <v>24.7425</v>
      </c>
      <c r="E107" s="58">
        <v>33.527222222222221</v>
      </c>
      <c r="F107" s="58">
        <v>38.529687500000001</v>
      </c>
      <c r="G107" s="47">
        <v>32.861764705882358</v>
      </c>
      <c r="H107" s="58">
        <v>31.758750000000003</v>
      </c>
      <c r="I107" s="59"/>
      <c r="J107" s="59"/>
      <c r="K107" s="59"/>
      <c r="L107" s="59"/>
      <c r="M107" s="56"/>
      <c r="N107" s="56"/>
      <c r="O107" s="57"/>
    </row>
    <row r="108" spans="1:15" x14ac:dyDescent="0.35">
      <c r="A108" s="118">
        <v>35490</v>
      </c>
      <c r="B108" s="58">
        <v>27.75375</v>
      </c>
      <c r="C108" s="58">
        <v>28.217500000000001</v>
      </c>
      <c r="D108" s="58">
        <v>23.519999999999996</v>
      </c>
      <c r="E108" s="58">
        <v>32.64</v>
      </c>
      <c r="F108" s="58">
        <v>37.116250000000001</v>
      </c>
      <c r="G108" s="47">
        <v>30.782222222222224</v>
      </c>
      <c r="H108" s="58">
        <v>26.857500000000002</v>
      </c>
      <c r="I108" s="59"/>
      <c r="J108" s="59"/>
      <c r="K108" s="59"/>
      <c r="L108" s="59"/>
      <c r="M108" s="56"/>
      <c r="N108" s="56"/>
      <c r="O108" s="57"/>
    </row>
    <row r="109" spans="1:15" x14ac:dyDescent="0.35">
      <c r="A109" s="118">
        <v>35521</v>
      </c>
      <c r="B109" s="58">
        <v>25.98</v>
      </c>
      <c r="C109" s="58">
        <v>27.045000000000002</v>
      </c>
      <c r="D109" s="58">
        <v>22.872499999999999</v>
      </c>
      <c r="E109" s="58">
        <v>31.966111111111104</v>
      </c>
      <c r="F109" s="58">
        <v>35.615937499999994</v>
      </c>
      <c r="G109" s="47">
        <v>30.48961111111111</v>
      </c>
      <c r="H109" s="58">
        <v>26.243749999999999</v>
      </c>
      <c r="I109" s="59"/>
      <c r="J109" s="59"/>
      <c r="K109" s="59"/>
      <c r="L109" s="59"/>
      <c r="M109" s="56"/>
      <c r="N109" s="56"/>
      <c r="O109" s="57"/>
    </row>
    <row r="110" spans="1:15" x14ac:dyDescent="0.35">
      <c r="A110" s="118">
        <v>35551</v>
      </c>
      <c r="B110" s="58">
        <v>26.34375</v>
      </c>
      <c r="C110" s="58">
        <v>27.227499999999999</v>
      </c>
      <c r="D110" s="58">
        <v>22.805</v>
      </c>
      <c r="E110" s="58">
        <v>32.120555555555562</v>
      </c>
      <c r="F110" s="58">
        <v>34.832500000000003</v>
      </c>
      <c r="G110" s="47">
        <v>30.841111111111118</v>
      </c>
      <c r="H110" s="58">
        <v>25.893750000000001</v>
      </c>
      <c r="I110" s="59"/>
      <c r="J110" s="59"/>
      <c r="K110" s="59"/>
      <c r="L110" s="59"/>
      <c r="M110" s="56"/>
      <c r="N110" s="56"/>
      <c r="O110" s="57"/>
    </row>
    <row r="111" spans="1:15" x14ac:dyDescent="0.35">
      <c r="A111" s="118">
        <v>35582</v>
      </c>
      <c r="B111" s="58">
        <v>25.28125</v>
      </c>
      <c r="C111" s="58">
        <v>25.997500000000002</v>
      </c>
      <c r="D111" s="58">
        <v>21.92</v>
      </c>
      <c r="E111" s="58">
        <v>31.545000000000002</v>
      </c>
      <c r="F111" s="58">
        <v>34.354999999999997</v>
      </c>
      <c r="G111" s="47">
        <v>30.488333333333337</v>
      </c>
      <c r="H111" s="58">
        <v>25.316249999999997</v>
      </c>
      <c r="I111" s="59"/>
      <c r="J111" s="59"/>
      <c r="K111" s="59"/>
      <c r="L111" s="59"/>
      <c r="M111" s="56"/>
      <c r="N111" s="56"/>
      <c r="O111" s="57"/>
    </row>
    <row r="112" spans="1:15" x14ac:dyDescent="0.35">
      <c r="A112" s="118">
        <v>35612</v>
      </c>
      <c r="B112" s="58">
        <v>25.347500000000004</v>
      </c>
      <c r="C112" s="58">
        <v>26.001249999999999</v>
      </c>
      <c r="D112" s="58">
        <v>21.82</v>
      </c>
      <c r="E112" s="58">
        <v>31.456666666666663</v>
      </c>
      <c r="F112" s="58">
        <v>33.946249999999999</v>
      </c>
      <c r="G112" s="47">
        <v>30.267777777777773</v>
      </c>
      <c r="H112" s="58">
        <v>25.587499999999999</v>
      </c>
      <c r="I112" s="59"/>
      <c r="J112" s="59"/>
      <c r="K112" s="59"/>
      <c r="L112" s="59"/>
      <c r="M112" s="56"/>
      <c r="N112" s="56"/>
      <c r="O112" s="57"/>
    </row>
    <row r="113" spans="1:15" x14ac:dyDescent="0.35">
      <c r="A113" s="118">
        <v>35643</v>
      </c>
      <c r="B113" s="58">
        <v>25.425000000000001</v>
      </c>
      <c r="C113" s="58">
        <v>24.755000000000003</v>
      </c>
      <c r="D113" s="58">
        <v>21.521250000000002</v>
      </c>
      <c r="E113" s="58">
        <v>31.424999999999997</v>
      </c>
      <c r="F113" s="58">
        <v>33.420625000000001</v>
      </c>
      <c r="G113" s="47">
        <v>29.993333333333332</v>
      </c>
      <c r="H113" s="58">
        <v>25.428750000000001</v>
      </c>
      <c r="I113" s="59"/>
      <c r="J113" s="59"/>
      <c r="K113" s="59"/>
      <c r="L113" s="59"/>
      <c r="M113" s="56"/>
      <c r="N113" s="56"/>
      <c r="O113" s="57"/>
    </row>
    <row r="114" spans="1:15" ht="15" thickBot="1" x14ac:dyDescent="0.4">
      <c r="A114" s="119">
        <v>35674</v>
      </c>
      <c r="B114" s="60">
        <v>26.886250000000004</v>
      </c>
      <c r="C114" s="60">
        <v>24.881250000000001</v>
      </c>
      <c r="D114" s="60">
        <v>21.542500000000004</v>
      </c>
      <c r="E114" s="60">
        <v>31.411666666666672</v>
      </c>
      <c r="F114" s="60">
        <v>33.323749999999997</v>
      </c>
      <c r="G114" s="49">
        <v>30.036666666666665</v>
      </c>
      <c r="H114" s="60">
        <v>25.86375</v>
      </c>
      <c r="I114" s="63"/>
      <c r="J114" s="63"/>
      <c r="K114" s="63"/>
      <c r="L114" s="63"/>
      <c r="M114" s="64"/>
      <c r="N114" s="64"/>
      <c r="O114" s="61"/>
    </row>
    <row r="115" spans="1:15" x14ac:dyDescent="0.35">
      <c r="A115" s="118">
        <v>35704</v>
      </c>
      <c r="B115" s="58">
        <v>26.958750000000002</v>
      </c>
      <c r="C115" s="58">
        <v>25.291249999999998</v>
      </c>
      <c r="D115" s="58">
        <v>21.451249999999998</v>
      </c>
      <c r="E115" s="58">
        <v>32.866166666666658</v>
      </c>
      <c r="F115" s="58">
        <v>33.078125</v>
      </c>
      <c r="G115" s="47">
        <v>30.347777777777779</v>
      </c>
      <c r="H115" s="58">
        <v>26.27375</v>
      </c>
      <c r="I115" s="59"/>
      <c r="J115" s="59"/>
      <c r="K115" s="59"/>
      <c r="L115" s="59"/>
      <c r="M115" s="56"/>
      <c r="N115" s="56"/>
      <c r="O115" s="57"/>
    </row>
    <row r="116" spans="1:15" x14ac:dyDescent="0.35">
      <c r="A116" s="118">
        <v>35735</v>
      </c>
      <c r="B116" s="58">
        <v>25.473750000000003</v>
      </c>
      <c r="C116" s="58">
        <v>23.751250000000002</v>
      </c>
      <c r="D116" s="58">
        <v>20.478749999999998</v>
      </c>
      <c r="E116" s="58">
        <v>30.785</v>
      </c>
      <c r="F116" s="58">
        <v>32.057500000000005</v>
      </c>
      <c r="G116" s="47">
        <v>29.088888888888885</v>
      </c>
      <c r="H116" s="58">
        <v>26.802499999999998</v>
      </c>
      <c r="I116" s="59"/>
      <c r="J116" s="59"/>
      <c r="K116" s="59"/>
      <c r="L116" s="59"/>
      <c r="M116" s="56"/>
      <c r="N116" s="56"/>
      <c r="O116" s="57"/>
    </row>
    <row r="117" spans="1:15" x14ac:dyDescent="0.35">
      <c r="A117" s="118">
        <v>35765</v>
      </c>
      <c r="B117" s="58">
        <v>26.630000000000003</v>
      </c>
      <c r="C117" s="58">
        <v>27.484999999999999</v>
      </c>
      <c r="D117" s="58">
        <v>21.984999999999999</v>
      </c>
      <c r="E117" s="58">
        <v>31.481111111111108</v>
      </c>
      <c r="F117" s="58">
        <v>34.032499999999999</v>
      </c>
      <c r="G117" s="47"/>
      <c r="H117" s="58">
        <v>39.78125</v>
      </c>
      <c r="I117" s="59"/>
      <c r="J117" s="59"/>
      <c r="K117" s="59"/>
      <c r="L117" s="59"/>
      <c r="M117" s="56"/>
      <c r="N117" s="56"/>
      <c r="O117" s="57"/>
    </row>
    <row r="118" spans="1:15" x14ac:dyDescent="0.35">
      <c r="A118" s="118">
        <v>35796</v>
      </c>
      <c r="B118" s="58">
        <v>26.188750000000002</v>
      </c>
      <c r="C118" s="58">
        <v>27.895</v>
      </c>
      <c r="D118" s="58">
        <v>23.47625</v>
      </c>
      <c r="E118" s="58">
        <v>34.164999999999999</v>
      </c>
      <c r="F118" s="58">
        <v>39.777499999999996</v>
      </c>
      <c r="G118" s="47">
        <v>34.369375000000005</v>
      </c>
      <c r="H118" s="58">
        <v>45.192500000000003</v>
      </c>
      <c r="I118" s="59"/>
      <c r="J118" s="59"/>
      <c r="K118" s="59"/>
      <c r="L118" s="59"/>
      <c r="M118" s="56"/>
      <c r="N118" s="56"/>
      <c r="O118" s="57"/>
    </row>
    <row r="119" spans="1:15" x14ac:dyDescent="0.35">
      <c r="A119" s="118">
        <v>35827</v>
      </c>
      <c r="B119" s="58">
        <v>36.198749999999997</v>
      </c>
      <c r="C119" s="58">
        <v>36.58</v>
      </c>
      <c r="D119" s="58">
        <v>26.134999999999994</v>
      </c>
      <c r="E119" s="58">
        <v>36.243333333333332</v>
      </c>
      <c r="F119" s="58">
        <v>40.561875000000001</v>
      </c>
      <c r="G119" s="47">
        <v>34.063124999999999</v>
      </c>
      <c r="H119" s="58">
        <v>45.78</v>
      </c>
      <c r="I119" s="59"/>
      <c r="J119" s="59"/>
      <c r="K119" s="59"/>
      <c r="L119" s="59"/>
      <c r="M119" s="56"/>
      <c r="N119" s="56"/>
      <c r="O119" s="57"/>
    </row>
    <row r="120" spans="1:15" x14ac:dyDescent="0.35">
      <c r="A120" s="118">
        <v>35855</v>
      </c>
      <c r="B120" s="58">
        <v>37.853749999999998</v>
      </c>
      <c r="C120" s="58">
        <v>32.86</v>
      </c>
      <c r="D120" s="58">
        <v>24.221249999999998</v>
      </c>
      <c r="E120" s="58">
        <v>32.87222222222222</v>
      </c>
      <c r="F120" s="58">
        <v>37.869999999999997</v>
      </c>
      <c r="G120" s="47">
        <v>33.030588235294125</v>
      </c>
      <c r="H120" s="58">
        <v>35.245000000000005</v>
      </c>
      <c r="I120" s="59"/>
      <c r="J120" s="59"/>
      <c r="K120" s="59"/>
      <c r="L120" s="59"/>
      <c r="M120" s="56"/>
      <c r="N120" s="56"/>
      <c r="O120" s="57"/>
    </row>
    <row r="121" spans="1:15" x14ac:dyDescent="0.35">
      <c r="A121" s="118">
        <v>35886</v>
      </c>
      <c r="B121" s="58">
        <v>37.916249999999998</v>
      </c>
      <c r="C121" s="58">
        <v>30.722500000000004</v>
      </c>
      <c r="D121" s="58">
        <v>23.943750000000001</v>
      </c>
      <c r="E121" s="58">
        <v>33.781666666666666</v>
      </c>
      <c r="F121" s="58">
        <v>39.352499999999992</v>
      </c>
      <c r="G121" s="47">
        <v>33.035625000000003</v>
      </c>
      <c r="H121" s="58">
        <v>37.33</v>
      </c>
      <c r="I121" s="59"/>
      <c r="J121" s="59"/>
      <c r="K121" s="59"/>
      <c r="L121" s="59"/>
      <c r="M121" s="56"/>
      <c r="N121" s="56"/>
      <c r="O121" s="57"/>
    </row>
    <row r="122" spans="1:15" x14ac:dyDescent="0.35">
      <c r="A122" s="118">
        <v>35916</v>
      </c>
      <c r="B122" s="58">
        <v>31.738749999999996</v>
      </c>
      <c r="C122" s="58">
        <v>28.508749999999999</v>
      </c>
      <c r="D122" s="58">
        <v>23.566249999999997</v>
      </c>
      <c r="E122" s="58">
        <v>33.519444444444439</v>
      </c>
      <c r="F122" s="58">
        <v>39.426250000000003</v>
      </c>
      <c r="G122" s="47">
        <v>33.424375000000005</v>
      </c>
      <c r="H122" s="58">
        <v>38.510000000000005</v>
      </c>
      <c r="I122" s="59"/>
      <c r="J122" s="59"/>
      <c r="K122" s="59"/>
      <c r="L122" s="59"/>
      <c r="M122" s="56"/>
      <c r="N122" s="56"/>
      <c r="O122" s="57"/>
    </row>
    <row r="123" spans="1:15" x14ac:dyDescent="0.35">
      <c r="A123" s="118">
        <v>35947</v>
      </c>
      <c r="B123" s="58">
        <v>28.171250000000001</v>
      </c>
      <c r="C123" s="58">
        <v>28.236249999999998</v>
      </c>
      <c r="D123" s="58">
        <v>22.912500000000001</v>
      </c>
      <c r="E123" s="58">
        <v>32.383333333333333</v>
      </c>
      <c r="F123" s="58">
        <v>36.875</v>
      </c>
      <c r="G123" s="47">
        <v>31.589411764705886</v>
      </c>
      <c r="H123" s="58">
        <v>29.635000000000002</v>
      </c>
      <c r="I123" s="59"/>
      <c r="J123" s="59"/>
      <c r="K123" s="59"/>
      <c r="L123" s="59"/>
      <c r="M123" s="56"/>
      <c r="N123" s="56"/>
      <c r="O123" s="57"/>
    </row>
    <row r="124" spans="1:15" x14ac:dyDescent="0.35">
      <c r="A124" s="118">
        <v>35977</v>
      </c>
      <c r="B124" s="58">
        <v>25.711249999999996</v>
      </c>
      <c r="C124" s="58">
        <v>27.057500000000005</v>
      </c>
      <c r="D124" s="58">
        <v>22.650000000000002</v>
      </c>
      <c r="E124" s="58">
        <v>31.710555555555555</v>
      </c>
      <c r="F124" s="58">
        <v>39.329374999999999</v>
      </c>
      <c r="G124" s="47">
        <v>30.477222222222224</v>
      </c>
      <c r="H124" s="58">
        <v>32.588750000000005</v>
      </c>
      <c r="I124" s="59"/>
      <c r="J124" s="59"/>
      <c r="K124" s="59"/>
      <c r="L124" s="59"/>
      <c r="M124" s="56"/>
      <c r="N124" s="56"/>
      <c r="O124" s="57"/>
    </row>
    <row r="125" spans="1:15" x14ac:dyDescent="0.35">
      <c r="A125" s="118">
        <v>36008</v>
      </c>
      <c r="B125" s="58">
        <v>25.335000000000001</v>
      </c>
      <c r="C125" s="58">
        <v>26.58625</v>
      </c>
      <c r="D125" s="58">
        <v>22.072499999999998</v>
      </c>
      <c r="E125" s="58">
        <v>31.429444444444439</v>
      </c>
      <c r="F125" s="58">
        <v>39.921875</v>
      </c>
      <c r="G125" s="47">
        <v>30.095555555555556</v>
      </c>
      <c r="H125" s="58">
        <v>30.045000000000002</v>
      </c>
      <c r="I125" s="59"/>
      <c r="J125" s="59"/>
      <c r="K125" s="59"/>
      <c r="L125" s="59"/>
      <c r="M125" s="56"/>
      <c r="N125" s="56"/>
      <c r="O125" s="57"/>
    </row>
    <row r="126" spans="1:15" ht="15" thickBot="1" x14ac:dyDescent="0.4">
      <c r="A126" s="119">
        <v>36039</v>
      </c>
      <c r="B126" s="60">
        <v>25.386249999999997</v>
      </c>
      <c r="C126" s="60">
        <v>26.216250000000002</v>
      </c>
      <c r="D126" s="60">
        <v>21.75375</v>
      </c>
      <c r="E126" s="60">
        <v>31.604444444444439</v>
      </c>
      <c r="F126" s="60">
        <v>40.704374999999999</v>
      </c>
      <c r="G126" s="49">
        <v>30.437222222222221</v>
      </c>
      <c r="H126" s="60">
        <v>32.277499999999996</v>
      </c>
      <c r="I126" s="44"/>
      <c r="J126" s="44"/>
      <c r="K126" s="44"/>
      <c r="L126" s="44"/>
      <c r="M126" s="64"/>
      <c r="N126" s="64"/>
      <c r="O126" s="61"/>
    </row>
    <row r="127" spans="1:15" x14ac:dyDescent="0.35">
      <c r="A127" s="118">
        <v>36069</v>
      </c>
      <c r="B127" s="58">
        <v>25.02375</v>
      </c>
      <c r="C127" s="58">
        <v>25.5</v>
      </c>
      <c r="D127" s="58">
        <v>21.397500000000001</v>
      </c>
      <c r="E127" s="58">
        <v>31.66611111111111</v>
      </c>
      <c r="F127" s="58">
        <v>40.073124999999997</v>
      </c>
      <c r="G127" s="47">
        <v>30.474999999999998</v>
      </c>
      <c r="H127" s="58">
        <v>30.441249999999997</v>
      </c>
      <c r="I127" s="41"/>
      <c r="J127" s="41"/>
      <c r="K127" s="41"/>
      <c r="L127" s="41"/>
      <c r="M127" s="56"/>
      <c r="N127" s="56"/>
      <c r="O127" s="57"/>
    </row>
    <row r="128" spans="1:15" x14ac:dyDescent="0.35">
      <c r="A128" s="118">
        <v>36100</v>
      </c>
      <c r="B128" s="58">
        <v>24.857499999999995</v>
      </c>
      <c r="C128" s="58">
        <v>25.25375</v>
      </c>
      <c r="D128" s="58">
        <v>22.888750000000002</v>
      </c>
      <c r="E128" s="58">
        <v>32.048888888888882</v>
      </c>
      <c r="F128" s="58">
        <v>39.922499999999999</v>
      </c>
      <c r="G128" s="47">
        <v>30.515000000000001</v>
      </c>
      <c r="H128" s="58">
        <v>30.655000000000001</v>
      </c>
      <c r="I128" s="41"/>
      <c r="J128" s="41"/>
      <c r="K128" s="41"/>
      <c r="L128" s="41"/>
      <c r="M128" s="65"/>
      <c r="N128" s="65"/>
      <c r="O128" s="23"/>
    </row>
    <row r="129" spans="1:15" x14ac:dyDescent="0.35">
      <c r="A129" s="118">
        <v>36130</v>
      </c>
      <c r="B129" s="58">
        <v>25.263750000000002</v>
      </c>
      <c r="C129" s="58">
        <v>25.1325</v>
      </c>
      <c r="D129" s="58">
        <v>22.878750000000004</v>
      </c>
      <c r="E129" s="58">
        <v>31.362222222222222</v>
      </c>
      <c r="F129" s="58">
        <v>39.731874999999988</v>
      </c>
      <c r="G129" s="47">
        <v>30.073888888888892</v>
      </c>
      <c r="H129" s="58">
        <v>32.99</v>
      </c>
      <c r="I129" s="41"/>
      <c r="J129" s="41"/>
      <c r="K129" s="41"/>
      <c r="L129" s="41"/>
      <c r="M129" s="65"/>
      <c r="N129" s="65"/>
      <c r="O129" s="23"/>
    </row>
    <row r="130" spans="1:15" x14ac:dyDescent="0.35">
      <c r="A130" s="118">
        <v>36161</v>
      </c>
      <c r="B130" s="58">
        <v>25.002500000000001</v>
      </c>
      <c r="C130" s="58">
        <v>27.232500000000002</v>
      </c>
      <c r="D130" s="58">
        <v>22.72625</v>
      </c>
      <c r="E130" s="58">
        <v>31.252222222222226</v>
      </c>
      <c r="F130" s="58">
        <v>40.620625000000004</v>
      </c>
      <c r="G130" s="47">
        <v>30.202222222222229</v>
      </c>
      <c r="H130" s="58">
        <v>28.702499999999997</v>
      </c>
      <c r="I130" s="41"/>
      <c r="J130" s="41"/>
      <c r="K130" s="41"/>
      <c r="L130" s="41"/>
      <c r="M130" s="65"/>
      <c r="N130" s="65"/>
      <c r="O130" s="23"/>
    </row>
    <row r="131" spans="1:15" x14ac:dyDescent="0.35">
      <c r="A131" s="118">
        <v>36192</v>
      </c>
      <c r="B131" s="58">
        <v>25.042499999999997</v>
      </c>
      <c r="C131" s="58">
        <v>27.296249999999997</v>
      </c>
      <c r="D131" s="58">
        <v>22.581250000000001</v>
      </c>
      <c r="E131" s="58">
        <v>31.342777777777776</v>
      </c>
      <c r="F131" s="58">
        <v>37.486250000000005</v>
      </c>
      <c r="G131" s="47">
        <v>30.021666666666672</v>
      </c>
      <c r="H131" s="58">
        <v>28.511249999999997</v>
      </c>
      <c r="I131" s="41"/>
      <c r="J131" s="41"/>
      <c r="K131" s="41"/>
      <c r="L131" s="41"/>
      <c r="M131" s="65"/>
      <c r="N131" s="65"/>
      <c r="O131" s="23"/>
    </row>
    <row r="132" spans="1:15" x14ac:dyDescent="0.35">
      <c r="A132" s="118">
        <v>36220</v>
      </c>
      <c r="B132" s="58">
        <v>24.76</v>
      </c>
      <c r="C132" s="58">
        <v>27.19</v>
      </c>
      <c r="D132" s="58">
        <v>22.506250000000001</v>
      </c>
      <c r="E132" s="58">
        <v>31.586666666666662</v>
      </c>
      <c r="F132" s="58">
        <v>35.946250000000006</v>
      </c>
      <c r="G132" s="47">
        <v>29.737777777777776</v>
      </c>
      <c r="H132" s="58">
        <v>26.5</v>
      </c>
      <c r="I132" s="41"/>
      <c r="J132" s="41"/>
      <c r="K132" s="41"/>
      <c r="L132" s="41"/>
      <c r="M132" s="65"/>
      <c r="N132" s="65"/>
      <c r="O132" s="23"/>
    </row>
    <row r="133" spans="1:15" x14ac:dyDescent="0.35">
      <c r="A133" s="118">
        <v>36251</v>
      </c>
      <c r="B133" s="58">
        <v>24.71125</v>
      </c>
      <c r="C133" s="58">
        <v>25.953749999999999</v>
      </c>
      <c r="D133" s="58">
        <v>21.578749999999996</v>
      </c>
      <c r="E133" s="58">
        <v>30.533888888888882</v>
      </c>
      <c r="F133" s="58">
        <v>38.151874999999997</v>
      </c>
      <c r="G133" s="47">
        <v>30.030000000000005</v>
      </c>
      <c r="H133" s="58">
        <v>32.217500000000001</v>
      </c>
      <c r="I133" s="41"/>
      <c r="J133" s="41"/>
      <c r="K133" s="41"/>
      <c r="L133" s="41"/>
      <c r="M133" s="65"/>
      <c r="N133" s="65"/>
      <c r="O133" s="23"/>
    </row>
    <row r="134" spans="1:15" x14ac:dyDescent="0.35">
      <c r="A134" s="118">
        <v>36281</v>
      </c>
      <c r="B134" s="58">
        <v>24.853750000000002</v>
      </c>
      <c r="C134" s="58">
        <v>25.942500000000003</v>
      </c>
      <c r="D134" s="58">
        <v>21.545000000000002</v>
      </c>
      <c r="E134" s="58">
        <v>30.46166666666667</v>
      </c>
      <c r="F134" s="58">
        <v>34.641249999999999</v>
      </c>
      <c r="G134" s="47">
        <v>29.372222222222224</v>
      </c>
      <c r="H134" s="58">
        <v>27.69</v>
      </c>
      <c r="I134" s="41"/>
      <c r="J134" s="41"/>
      <c r="K134" s="41"/>
      <c r="L134" s="41"/>
      <c r="M134" s="65"/>
      <c r="N134" s="65"/>
      <c r="O134" s="23"/>
    </row>
    <row r="135" spans="1:15" x14ac:dyDescent="0.35">
      <c r="A135" s="118">
        <v>36312</v>
      </c>
      <c r="B135" s="58">
        <v>24.32</v>
      </c>
      <c r="C135" s="58">
        <v>25.888750000000002</v>
      </c>
      <c r="D135" s="58">
        <v>21.21875</v>
      </c>
      <c r="E135" s="58">
        <v>30.676111111111108</v>
      </c>
      <c r="F135" s="58">
        <v>33.349999999999994</v>
      </c>
      <c r="G135" s="47">
        <v>29.510000000000005</v>
      </c>
      <c r="H135" s="58">
        <v>25.642499999999998</v>
      </c>
      <c r="I135" s="41"/>
      <c r="J135" s="41"/>
      <c r="K135" s="41"/>
      <c r="L135" s="41"/>
      <c r="M135" s="65"/>
      <c r="N135" s="65"/>
      <c r="O135" s="23"/>
    </row>
    <row r="136" spans="1:15" x14ac:dyDescent="0.35">
      <c r="A136" s="118">
        <v>36342</v>
      </c>
      <c r="B136" s="58">
        <v>24.116250000000001</v>
      </c>
      <c r="C136" s="58">
        <v>25.39875</v>
      </c>
      <c r="D136" s="58">
        <v>20.918750000000003</v>
      </c>
      <c r="E136" s="58">
        <v>30.819444444444443</v>
      </c>
      <c r="F136" s="58">
        <v>32.344374999999999</v>
      </c>
      <c r="G136" s="47">
        <v>26.556111111111107</v>
      </c>
      <c r="H136" s="58">
        <v>25.176250000000003</v>
      </c>
      <c r="I136" s="66">
        <v>25.997777777777781</v>
      </c>
      <c r="J136" s="66">
        <v>30.325000000000003</v>
      </c>
      <c r="K136" s="56"/>
      <c r="L136" s="56"/>
      <c r="M136" s="65"/>
      <c r="N136" s="65"/>
      <c r="O136" s="23"/>
    </row>
    <row r="137" spans="1:15" x14ac:dyDescent="0.35">
      <c r="A137" s="118">
        <v>36373</v>
      </c>
      <c r="B137" s="58">
        <v>24.814999999999998</v>
      </c>
      <c r="C137" s="58">
        <v>24.771249999999998</v>
      </c>
      <c r="D137" s="58">
        <v>21.852500000000003</v>
      </c>
      <c r="E137" s="58">
        <v>30.507222222222229</v>
      </c>
      <c r="F137" s="58">
        <v>32.178750000000001</v>
      </c>
      <c r="G137" s="67"/>
      <c r="H137" s="58">
        <v>25.13625</v>
      </c>
      <c r="I137" s="66">
        <v>25.789444444444442</v>
      </c>
      <c r="J137" s="66">
        <v>29.93375</v>
      </c>
      <c r="K137" s="56"/>
      <c r="L137" s="56"/>
      <c r="M137" s="65"/>
      <c r="N137" s="65"/>
      <c r="O137" s="23"/>
    </row>
    <row r="138" spans="1:15" ht="15" thickBot="1" x14ac:dyDescent="0.4">
      <c r="A138" s="119">
        <v>36404</v>
      </c>
      <c r="B138" s="60">
        <v>23.99625</v>
      </c>
      <c r="C138" s="60">
        <v>24.608750000000001</v>
      </c>
      <c r="D138" s="60">
        <v>21.932500000000001</v>
      </c>
      <c r="E138" s="60">
        <v>31.076111111111111</v>
      </c>
      <c r="F138" s="60">
        <v>31.724374999999995</v>
      </c>
      <c r="G138" s="71"/>
      <c r="H138" s="60">
        <v>25.3125</v>
      </c>
      <c r="I138" s="72">
        <v>25.782777777777778</v>
      </c>
      <c r="J138" s="72">
        <v>30.251250000000002</v>
      </c>
      <c r="K138" s="64"/>
      <c r="L138" s="64"/>
      <c r="M138" s="73"/>
      <c r="N138" s="73"/>
      <c r="O138" s="69"/>
    </row>
    <row r="139" spans="1:15" x14ac:dyDescent="0.35">
      <c r="A139" s="118">
        <v>36434</v>
      </c>
      <c r="B139" s="58">
        <v>24.013749999999998</v>
      </c>
      <c r="C139" s="58">
        <v>24.2075</v>
      </c>
      <c r="D139" s="58">
        <v>22.141249999999999</v>
      </c>
      <c r="E139" s="58">
        <v>30.366666666666667</v>
      </c>
      <c r="F139" s="58">
        <v>31.616249999999994</v>
      </c>
      <c r="G139" s="74"/>
      <c r="H139" s="58">
        <v>25.311250000000001</v>
      </c>
      <c r="I139" s="66">
        <v>25.76722222222222</v>
      </c>
      <c r="J139" s="66">
        <v>29.785</v>
      </c>
      <c r="K139" s="56"/>
      <c r="L139" s="56"/>
      <c r="M139" s="65"/>
      <c r="N139" s="65"/>
      <c r="O139" s="23"/>
    </row>
    <row r="140" spans="1:15" x14ac:dyDescent="0.35">
      <c r="A140" s="118">
        <v>36465</v>
      </c>
      <c r="B140" s="58">
        <v>24.47625</v>
      </c>
      <c r="C140" s="58">
        <v>24.907500000000002</v>
      </c>
      <c r="D140" s="58">
        <v>23.968749999999996</v>
      </c>
      <c r="E140" s="58">
        <v>30.977777777777774</v>
      </c>
      <c r="F140" s="58">
        <v>32.256250000000001</v>
      </c>
      <c r="G140" s="67"/>
      <c r="H140" s="58">
        <v>25.6325</v>
      </c>
      <c r="I140" s="66">
        <v>26.334999999999997</v>
      </c>
      <c r="J140" s="66">
        <v>31.086250000000003</v>
      </c>
      <c r="K140" s="56"/>
      <c r="L140" s="56"/>
      <c r="M140" s="65"/>
      <c r="N140" s="65"/>
      <c r="O140" s="23"/>
    </row>
    <row r="141" spans="1:15" x14ac:dyDescent="0.35">
      <c r="A141" s="118">
        <v>36495</v>
      </c>
      <c r="B141" s="58">
        <v>24.322499999999998</v>
      </c>
      <c r="C141" s="58">
        <v>24.891249999999999</v>
      </c>
      <c r="D141" s="58">
        <v>23.304999999999996</v>
      </c>
      <c r="E141" s="58">
        <v>30.929444444444439</v>
      </c>
      <c r="F141" s="58">
        <v>31.990625000000001</v>
      </c>
      <c r="G141" s="67"/>
      <c r="H141" s="58">
        <v>25.502500000000001</v>
      </c>
      <c r="I141" s="66">
        <v>26.407777777777778</v>
      </c>
      <c r="J141" s="66">
        <v>31.123750000000001</v>
      </c>
      <c r="K141" s="56"/>
      <c r="L141" s="56"/>
      <c r="M141" s="65"/>
      <c r="N141" s="65"/>
      <c r="O141" s="23"/>
    </row>
    <row r="142" spans="1:15" x14ac:dyDescent="0.35">
      <c r="A142" s="118">
        <v>36526</v>
      </c>
      <c r="B142" s="58">
        <v>24.278750000000002</v>
      </c>
      <c r="C142" s="58">
        <v>24.596249999999998</v>
      </c>
      <c r="D142" s="58">
        <v>24.320000000000004</v>
      </c>
      <c r="E142" s="58">
        <v>31.056111111111111</v>
      </c>
      <c r="F142" s="58">
        <v>31.526250000000001</v>
      </c>
      <c r="G142" s="67"/>
      <c r="H142" s="58">
        <v>25.26125</v>
      </c>
      <c r="I142" s="66">
        <v>26.168888888888898</v>
      </c>
      <c r="J142" s="66">
        <v>30.953749999999999</v>
      </c>
      <c r="K142" s="56"/>
      <c r="L142" s="56"/>
      <c r="M142" s="65"/>
      <c r="N142" s="65"/>
      <c r="O142" s="23"/>
    </row>
    <row r="143" spans="1:15" x14ac:dyDescent="0.35">
      <c r="A143" s="118">
        <v>36557</v>
      </c>
      <c r="B143" s="58">
        <v>25.91375</v>
      </c>
      <c r="C143" s="58">
        <v>28.715</v>
      </c>
      <c r="D143" s="58">
        <v>25.941250000000004</v>
      </c>
      <c r="E143" s="58">
        <v>31.278333333333332</v>
      </c>
      <c r="F143" s="58">
        <v>36.082500000000003</v>
      </c>
      <c r="G143" s="67"/>
      <c r="H143" s="58">
        <v>47.528750000000002</v>
      </c>
      <c r="I143" s="66">
        <v>29.667222222222222</v>
      </c>
      <c r="J143" s="66">
        <v>32.702500000000001</v>
      </c>
      <c r="K143" s="56"/>
      <c r="L143" s="56"/>
      <c r="M143" s="65"/>
      <c r="N143" s="65"/>
      <c r="O143" s="23"/>
    </row>
    <row r="144" spans="1:15" x14ac:dyDescent="0.35">
      <c r="A144" s="118">
        <v>36586</v>
      </c>
      <c r="B144" s="58">
        <v>25.326249999999998</v>
      </c>
      <c r="C144" s="58">
        <v>29.049999999999997</v>
      </c>
      <c r="D144" s="58">
        <v>25.331249999999997</v>
      </c>
      <c r="E144" s="58">
        <v>33.084444444444436</v>
      </c>
      <c r="F144" s="58">
        <v>38.053750000000001</v>
      </c>
      <c r="G144" s="67"/>
      <c r="H144" s="58">
        <v>40.966250000000002</v>
      </c>
      <c r="I144" s="66">
        <v>39.423333333333332</v>
      </c>
      <c r="J144" s="66">
        <v>32.82</v>
      </c>
      <c r="K144" s="56"/>
      <c r="L144" s="56"/>
      <c r="M144" s="65"/>
      <c r="N144" s="65"/>
      <c r="O144" s="23"/>
    </row>
    <row r="145" spans="1:15" x14ac:dyDescent="0.35">
      <c r="A145" s="118">
        <v>36617</v>
      </c>
      <c r="B145" s="58">
        <v>25.631249999999994</v>
      </c>
      <c r="C145" s="58">
        <v>28.26125</v>
      </c>
      <c r="D145" s="58">
        <v>24.166249999999998</v>
      </c>
      <c r="E145" s="58">
        <v>31.598333333333333</v>
      </c>
      <c r="F145" s="58">
        <v>34.901249999999997</v>
      </c>
      <c r="G145" s="67"/>
      <c r="H145" s="58">
        <v>28.546250000000001</v>
      </c>
      <c r="I145" s="66">
        <v>28.48833333333333</v>
      </c>
      <c r="J145" s="66">
        <v>32.247500000000002</v>
      </c>
      <c r="K145" s="56"/>
      <c r="L145" s="56"/>
      <c r="M145" s="65"/>
      <c r="N145" s="65"/>
      <c r="O145" s="23"/>
    </row>
    <row r="146" spans="1:15" x14ac:dyDescent="0.35">
      <c r="A146" s="118">
        <v>36647</v>
      </c>
      <c r="B146" s="58">
        <v>25.928750000000004</v>
      </c>
      <c r="C146" s="58">
        <v>28.631250000000001</v>
      </c>
      <c r="D146" s="58">
        <v>23.912500000000001</v>
      </c>
      <c r="E146" s="58">
        <v>31.644444444444446</v>
      </c>
      <c r="F146" s="58">
        <v>35.649374999999999</v>
      </c>
      <c r="G146" s="67"/>
      <c r="H146" s="58">
        <v>30.111250000000002</v>
      </c>
      <c r="I146" s="66">
        <v>28.856666666666666</v>
      </c>
      <c r="J146" s="66">
        <v>31.776250000000001</v>
      </c>
      <c r="K146" s="56"/>
      <c r="L146" s="56"/>
      <c r="M146" s="65"/>
      <c r="N146" s="65"/>
      <c r="O146" s="23"/>
    </row>
    <row r="147" spans="1:15" x14ac:dyDescent="0.35">
      <c r="A147" s="118">
        <v>36678</v>
      </c>
      <c r="B147" s="58">
        <v>25.601249999999997</v>
      </c>
      <c r="C147" s="58">
        <v>27.751250000000002</v>
      </c>
      <c r="D147" s="58">
        <v>23.078749999999999</v>
      </c>
      <c r="E147" s="58">
        <v>31.149999999999995</v>
      </c>
      <c r="F147" s="58">
        <v>34.46</v>
      </c>
      <c r="G147" s="67"/>
      <c r="H147" s="58">
        <v>28.963750000000001</v>
      </c>
      <c r="I147" s="66">
        <v>28.540555555555557</v>
      </c>
      <c r="J147" s="66">
        <v>31.695</v>
      </c>
      <c r="K147" s="56"/>
      <c r="L147" s="56"/>
      <c r="M147" s="65"/>
      <c r="N147" s="65"/>
      <c r="O147" s="23"/>
    </row>
    <row r="148" spans="1:15" x14ac:dyDescent="0.35">
      <c r="A148" s="118">
        <v>36708</v>
      </c>
      <c r="B148" s="58">
        <v>25.391249999999999</v>
      </c>
      <c r="C148" s="58">
        <v>27.242499999999996</v>
      </c>
      <c r="D148" s="58">
        <v>22.408750000000001</v>
      </c>
      <c r="E148" s="58">
        <v>31.29111111111111</v>
      </c>
      <c r="F148" s="58">
        <v>34.034999999999997</v>
      </c>
      <c r="G148" s="67"/>
      <c r="H148" s="58">
        <v>28.506250000000001</v>
      </c>
      <c r="I148" s="66">
        <v>28.394444444444442</v>
      </c>
      <c r="J148" s="66">
        <v>31.526250000000001</v>
      </c>
      <c r="K148" s="56"/>
      <c r="L148" s="56"/>
      <c r="M148" s="65"/>
      <c r="N148" s="65"/>
      <c r="O148" s="23"/>
    </row>
    <row r="149" spans="1:15" x14ac:dyDescent="0.35">
      <c r="A149" s="118">
        <v>36739</v>
      </c>
      <c r="B149" s="58">
        <v>25.916250000000002</v>
      </c>
      <c r="C149" s="58">
        <v>26.103750000000002</v>
      </c>
      <c r="D149" s="58">
        <v>22.791249999999998</v>
      </c>
      <c r="E149" s="58">
        <v>31.291666666666668</v>
      </c>
      <c r="F149" s="58">
        <v>34.051875000000003</v>
      </c>
      <c r="G149" s="67"/>
      <c r="H149" s="58">
        <v>27.92625</v>
      </c>
      <c r="I149" s="66">
        <v>28.372222222222224</v>
      </c>
      <c r="J149" s="66">
        <v>31.697499999999998</v>
      </c>
      <c r="K149" s="56"/>
      <c r="L149" s="56"/>
      <c r="M149" s="65"/>
      <c r="N149" s="65"/>
      <c r="O149" s="23"/>
    </row>
    <row r="150" spans="1:15" ht="15" thickBot="1" x14ac:dyDescent="0.4">
      <c r="A150" s="119">
        <v>36770</v>
      </c>
      <c r="B150" s="60">
        <v>25.544999999999998</v>
      </c>
      <c r="C150" s="60">
        <v>25.658749999999998</v>
      </c>
      <c r="D150" s="60">
        <v>23.110000000000003</v>
      </c>
      <c r="E150" s="60">
        <v>30.815000000000005</v>
      </c>
      <c r="F150" s="60">
        <v>33.861249999999998</v>
      </c>
      <c r="G150" s="71"/>
      <c r="H150" s="60">
        <v>27.116250000000001</v>
      </c>
      <c r="I150" s="72">
        <v>27.654999999999998</v>
      </c>
      <c r="J150" s="72">
        <v>31.607500000000002</v>
      </c>
      <c r="K150" s="64"/>
      <c r="L150" s="64"/>
      <c r="M150" s="73"/>
      <c r="N150" s="73"/>
      <c r="O150" s="69"/>
    </row>
    <row r="151" spans="1:15" x14ac:dyDescent="0.35">
      <c r="A151" s="118">
        <v>36800</v>
      </c>
      <c r="B151" s="58">
        <v>26.413749999999997</v>
      </c>
      <c r="C151" s="58">
        <v>26.103749999999998</v>
      </c>
      <c r="D151" s="58">
        <v>23.143749999999997</v>
      </c>
      <c r="E151" s="58">
        <v>30.852222222222224</v>
      </c>
      <c r="F151" s="58">
        <v>33.695</v>
      </c>
      <c r="G151" s="74"/>
      <c r="H151" s="58">
        <v>26.537500000000001</v>
      </c>
      <c r="I151" s="66">
        <v>27.692777777777778</v>
      </c>
      <c r="J151" s="66">
        <v>31.928750000000004</v>
      </c>
      <c r="K151" s="56"/>
      <c r="L151" s="56"/>
      <c r="M151" s="65"/>
      <c r="N151" s="65"/>
      <c r="O151" s="23"/>
    </row>
    <row r="152" spans="1:15" x14ac:dyDescent="0.35">
      <c r="A152" s="118">
        <v>36831</v>
      </c>
      <c r="B152" s="58">
        <v>27.375</v>
      </c>
      <c r="C152" s="58">
        <v>28.4175</v>
      </c>
      <c r="D152" s="58">
        <v>24.047499999999999</v>
      </c>
      <c r="E152" s="58">
        <v>31.902222222222221</v>
      </c>
      <c r="F152" s="58">
        <v>35.761250000000004</v>
      </c>
      <c r="G152" s="67"/>
      <c r="H152" s="58">
        <v>29.297499999999999</v>
      </c>
      <c r="I152" s="66">
        <v>29.297777777777778</v>
      </c>
      <c r="J152" s="66">
        <v>32.512499999999996</v>
      </c>
      <c r="K152" s="56"/>
      <c r="L152" s="56"/>
      <c r="M152" s="65"/>
      <c r="N152" s="65"/>
      <c r="O152" s="23"/>
    </row>
    <row r="153" spans="1:15" x14ac:dyDescent="0.35">
      <c r="A153" s="118">
        <v>36861</v>
      </c>
      <c r="B153" s="58">
        <v>26.21</v>
      </c>
      <c r="C153" s="58">
        <v>27.427500000000002</v>
      </c>
      <c r="D153" s="58">
        <v>23.4025</v>
      </c>
      <c r="E153" s="58">
        <v>30.616111111111113</v>
      </c>
      <c r="F153" s="58">
        <v>34.263125000000002</v>
      </c>
      <c r="G153" s="67"/>
      <c r="H153" s="58">
        <v>26.896249999999998</v>
      </c>
      <c r="I153" s="66">
        <v>28.338888888888885</v>
      </c>
      <c r="J153" s="66">
        <v>31.516249999999999</v>
      </c>
      <c r="K153" s="56"/>
      <c r="L153" s="56"/>
      <c r="M153" s="65"/>
      <c r="N153" s="65"/>
      <c r="O153" s="23"/>
    </row>
    <row r="154" spans="1:15" x14ac:dyDescent="0.35">
      <c r="A154" s="118">
        <v>36892</v>
      </c>
      <c r="B154" s="58">
        <v>25.962500000000002</v>
      </c>
      <c r="C154" s="58">
        <v>29.8675</v>
      </c>
      <c r="D154" s="58">
        <v>24.533750000000001</v>
      </c>
      <c r="E154" s="58">
        <v>30.984444444444438</v>
      </c>
      <c r="F154" s="58">
        <v>39.19</v>
      </c>
      <c r="G154" s="67"/>
      <c r="H154" s="58">
        <v>43.937500000000007</v>
      </c>
      <c r="I154" s="66">
        <v>39.098888888888894</v>
      </c>
      <c r="J154" s="66">
        <v>32.125</v>
      </c>
      <c r="K154" s="56"/>
      <c r="L154" s="56"/>
      <c r="M154" s="65"/>
      <c r="N154" s="65"/>
      <c r="O154" s="23"/>
    </row>
    <row r="155" spans="1:15" x14ac:dyDescent="0.35">
      <c r="A155" s="118">
        <v>36923</v>
      </c>
      <c r="B155" s="58">
        <v>29.675000000000004</v>
      </c>
      <c r="C155" s="58">
        <v>29.041249999999998</v>
      </c>
      <c r="D155" s="58">
        <v>25.09</v>
      </c>
      <c r="E155" s="58">
        <v>34.11055555555555</v>
      </c>
      <c r="F155" s="58">
        <v>39.498125000000002</v>
      </c>
      <c r="G155" s="67"/>
      <c r="H155" s="58">
        <v>46.708749999999995</v>
      </c>
      <c r="I155" s="66">
        <v>40.966111111111104</v>
      </c>
      <c r="J155" s="66">
        <v>33.787499999999994</v>
      </c>
      <c r="K155" s="56"/>
      <c r="L155" s="56"/>
      <c r="M155" s="65"/>
      <c r="N155" s="65"/>
      <c r="O155" s="23"/>
    </row>
    <row r="156" spans="1:15" x14ac:dyDescent="0.35">
      <c r="A156" s="118">
        <v>36951</v>
      </c>
      <c r="B156" s="58">
        <v>33.172499999999999</v>
      </c>
      <c r="C156" s="58">
        <v>35.258749999999999</v>
      </c>
      <c r="D156" s="58">
        <v>25.258749999999999</v>
      </c>
      <c r="E156" s="58">
        <v>33.097777777777779</v>
      </c>
      <c r="F156" s="58">
        <v>39.175624999999997</v>
      </c>
      <c r="G156" s="67"/>
      <c r="H156" s="58">
        <v>42.372500000000002</v>
      </c>
      <c r="I156" s="66">
        <v>40.647222222222211</v>
      </c>
      <c r="J156" s="66">
        <v>33.631250000000001</v>
      </c>
      <c r="K156" s="56"/>
      <c r="L156" s="56"/>
      <c r="M156" s="65"/>
      <c r="N156" s="65"/>
      <c r="O156" s="23"/>
    </row>
    <row r="157" spans="1:15" x14ac:dyDescent="0.35">
      <c r="A157" s="118">
        <v>36982</v>
      </c>
      <c r="B157" s="58">
        <v>30.21125</v>
      </c>
      <c r="C157" s="58">
        <v>30.21125</v>
      </c>
      <c r="D157" s="58">
        <v>24.411249999999999</v>
      </c>
      <c r="E157" s="58">
        <v>33.266111111111123</v>
      </c>
      <c r="F157" s="58">
        <v>40.125000000000007</v>
      </c>
      <c r="G157" s="67"/>
      <c r="H157" s="58">
        <v>40.01</v>
      </c>
      <c r="I157" s="66">
        <v>41.553888888888899</v>
      </c>
      <c r="J157" s="66">
        <v>34.508749999999999</v>
      </c>
      <c r="K157" s="56"/>
      <c r="L157" s="56"/>
      <c r="M157" s="65"/>
      <c r="N157" s="65"/>
      <c r="O157" s="23"/>
    </row>
    <row r="158" spans="1:15" x14ac:dyDescent="0.35">
      <c r="A158" s="118">
        <v>37012</v>
      </c>
      <c r="B158" s="58">
        <v>31.262500000000003</v>
      </c>
      <c r="C158" s="58">
        <v>28.616250000000001</v>
      </c>
      <c r="D158" s="58">
        <v>24.303750000000001</v>
      </c>
      <c r="E158" s="58">
        <v>32.874444444444443</v>
      </c>
      <c r="F158" s="58">
        <v>37.915624999999999</v>
      </c>
      <c r="G158" s="67"/>
      <c r="H158" s="58">
        <v>30.26</v>
      </c>
      <c r="I158" s="66">
        <v>30.030555555555559</v>
      </c>
      <c r="J158" s="66">
        <v>36.005000000000003</v>
      </c>
      <c r="K158" s="56"/>
      <c r="L158" s="56"/>
      <c r="M158" s="65"/>
      <c r="N158" s="65"/>
      <c r="O158" s="23"/>
    </row>
    <row r="159" spans="1:15" x14ac:dyDescent="0.35">
      <c r="A159" s="118">
        <v>37043</v>
      </c>
      <c r="B159" s="58">
        <v>28.822499999999998</v>
      </c>
      <c r="C159" s="58">
        <v>27.627500000000001</v>
      </c>
      <c r="D159" s="58">
        <v>23.896250000000002</v>
      </c>
      <c r="E159" s="58">
        <v>32.671111111111117</v>
      </c>
      <c r="F159" s="58">
        <v>37.803750000000001</v>
      </c>
      <c r="G159" s="67"/>
      <c r="H159" s="58">
        <v>29.686250000000001</v>
      </c>
      <c r="I159" s="66">
        <v>29.712222222222223</v>
      </c>
      <c r="J159" s="66">
        <v>34.033749999999998</v>
      </c>
      <c r="K159" s="56"/>
      <c r="L159" s="56"/>
      <c r="M159" s="65"/>
      <c r="N159" s="65"/>
      <c r="O159" s="23"/>
    </row>
    <row r="160" spans="1:15" x14ac:dyDescent="0.35">
      <c r="A160" s="118">
        <v>37073</v>
      </c>
      <c r="B160" s="58">
        <v>26.824999999999999</v>
      </c>
      <c r="C160" s="58">
        <v>27.25</v>
      </c>
      <c r="D160" s="58">
        <v>24.978749999999998</v>
      </c>
      <c r="E160" s="58">
        <v>31.16611111111111</v>
      </c>
      <c r="F160" s="58">
        <v>33.698125000000005</v>
      </c>
      <c r="G160" s="67"/>
      <c r="H160" s="58">
        <v>28.458750000000002</v>
      </c>
      <c r="I160" s="66">
        <v>29.47000000000001</v>
      </c>
      <c r="J160" s="66">
        <v>31.721249999999998</v>
      </c>
      <c r="K160" s="56"/>
      <c r="L160" s="56"/>
      <c r="M160" s="65"/>
      <c r="N160" s="65"/>
      <c r="O160" s="23"/>
    </row>
    <row r="161" spans="1:15" x14ac:dyDescent="0.35">
      <c r="A161" s="118">
        <v>37104</v>
      </c>
      <c r="B161" s="58">
        <v>26.787500000000001</v>
      </c>
      <c r="C161" s="58">
        <v>27.188750000000002</v>
      </c>
      <c r="D161" s="58">
        <v>25.326250000000002</v>
      </c>
      <c r="E161" s="58">
        <v>30.787222222222226</v>
      </c>
      <c r="F161" s="58">
        <v>34.053124999999987</v>
      </c>
      <c r="G161" s="67"/>
      <c r="H161" s="58">
        <v>29.348749999999999</v>
      </c>
      <c r="I161" s="66">
        <v>28.928888888888892</v>
      </c>
      <c r="J161" s="66">
        <v>31.202500000000001</v>
      </c>
      <c r="K161" s="56"/>
      <c r="L161" s="56"/>
      <c r="M161" s="65"/>
      <c r="N161" s="65"/>
      <c r="O161" s="23"/>
    </row>
    <row r="162" spans="1:15" ht="15" thickBot="1" x14ac:dyDescent="0.4">
      <c r="A162" s="119">
        <v>37135</v>
      </c>
      <c r="B162" s="60">
        <v>26.743750000000002</v>
      </c>
      <c r="C162" s="60">
        <v>26.247500000000002</v>
      </c>
      <c r="D162" s="60">
        <v>25.872499999999999</v>
      </c>
      <c r="E162" s="60">
        <v>31.358888888888885</v>
      </c>
      <c r="F162" s="60">
        <v>33.080625000000005</v>
      </c>
      <c r="G162" s="71"/>
      <c r="H162" s="60">
        <v>28.06</v>
      </c>
      <c r="I162" s="72">
        <v>30.630555555555556</v>
      </c>
      <c r="J162" s="72">
        <v>30.858750000000001</v>
      </c>
      <c r="K162" s="64"/>
      <c r="L162" s="64"/>
      <c r="M162" s="73"/>
      <c r="N162" s="73"/>
      <c r="O162" s="69"/>
    </row>
    <row r="163" spans="1:15" x14ac:dyDescent="0.35">
      <c r="A163" s="118">
        <v>37165</v>
      </c>
      <c r="B163" s="58"/>
      <c r="C163" s="58"/>
      <c r="D163" s="58"/>
      <c r="E163" s="58"/>
      <c r="F163" s="58"/>
      <c r="G163" s="74"/>
      <c r="H163" s="58"/>
      <c r="I163" s="66"/>
      <c r="J163" s="66"/>
      <c r="K163" s="56"/>
      <c r="L163" s="56"/>
      <c r="M163" s="65"/>
      <c r="N163" s="65"/>
      <c r="O163" s="23"/>
    </row>
    <row r="164" spans="1:15" x14ac:dyDescent="0.35">
      <c r="A164" s="118">
        <v>37196</v>
      </c>
      <c r="B164" s="58">
        <v>27.004907138242892</v>
      </c>
      <c r="C164" s="58">
        <v>26.366959840654605</v>
      </c>
      <c r="D164" s="58">
        <v>25.733082382285382</v>
      </c>
      <c r="E164" s="58">
        <v>30.965652056018119</v>
      </c>
      <c r="F164" s="58">
        <v>32.675719360106235</v>
      </c>
      <c r="G164" s="67"/>
      <c r="H164" s="58">
        <v>26.997784919609536</v>
      </c>
      <c r="I164" s="66">
        <v>29.287973889048398</v>
      </c>
      <c r="J164" s="66">
        <v>33.34876902095894</v>
      </c>
      <c r="K164" s="56"/>
      <c r="L164" s="56"/>
      <c r="M164" s="65"/>
      <c r="N164" s="65"/>
      <c r="O164" s="23"/>
    </row>
    <row r="165" spans="1:15" x14ac:dyDescent="0.35">
      <c r="A165" s="118">
        <v>37226</v>
      </c>
      <c r="B165" s="58">
        <v>26.825834212604075</v>
      </c>
      <c r="C165" s="58">
        <v>25.994569552110249</v>
      </c>
      <c r="D165" s="58">
        <v>26.049512381567617</v>
      </c>
      <c r="E165" s="58">
        <v>30.999567382843654</v>
      </c>
      <c r="F165" s="58">
        <v>32.780008990094743</v>
      </c>
      <c r="G165" s="67"/>
      <c r="H165" s="58">
        <v>27.662186172121736</v>
      </c>
      <c r="I165" s="66">
        <v>29.139198655373718</v>
      </c>
      <c r="J165" s="66">
        <v>32.002669699253516</v>
      </c>
      <c r="K165" s="56"/>
      <c r="L165" s="56"/>
      <c r="M165" s="65"/>
      <c r="N165" s="65"/>
      <c r="O165" s="23"/>
    </row>
    <row r="166" spans="1:15" x14ac:dyDescent="0.35">
      <c r="A166" s="118">
        <v>37257</v>
      </c>
      <c r="B166" s="58">
        <v>27.412489307791834</v>
      </c>
      <c r="C166" s="58">
        <v>26.088908963484762</v>
      </c>
      <c r="D166" s="58">
        <v>25.698661641029332</v>
      </c>
      <c r="E166" s="58">
        <v>31.26118606638553</v>
      </c>
      <c r="F166" s="58">
        <v>32.299751141101204</v>
      </c>
      <c r="G166" s="67"/>
      <c r="H166" s="58">
        <v>28.26940314117309</v>
      </c>
      <c r="I166" s="66">
        <v>28.853811809149576</v>
      </c>
      <c r="J166" s="66">
        <v>32.823986774008048</v>
      </c>
      <c r="K166" s="56"/>
      <c r="L166" s="56"/>
      <c r="M166" s="65"/>
      <c r="N166" s="65"/>
      <c r="O166" s="23"/>
    </row>
    <row r="167" spans="1:15" x14ac:dyDescent="0.35">
      <c r="A167" s="118">
        <v>37288</v>
      </c>
      <c r="B167" s="58">
        <v>26.904086506681995</v>
      </c>
      <c r="C167" s="58">
        <v>25.930416510992959</v>
      </c>
      <c r="D167" s="58">
        <v>25.493487192843798</v>
      </c>
      <c r="E167" s="58">
        <v>30.956291900177227</v>
      </c>
      <c r="F167" s="58">
        <v>32.818418792211524</v>
      </c>
      <c r="G167" s="67"/>
      <c r="H167" s="58">
        <v>29.265949184509264</v>
      </c>
      <c r="I167" s="66">
        <v>29.533583952036526</v>
      </c>
      <c r="J167" s="66">
        <v>32.383526440580546</v>
      </c>
      <c r="K167" s="56"/>
      <c r="L167" s="56"/>
      <c r="M167" s="65"/>
      <c r="N167" s="65"/>
      <c r="O167" s="23"/>
    </row>
    <row r="168" spans="1:15" x14ac:dyDescent="0.35">
      <c r="A168" s="118">
        <v>37316</v>
      </c>
      <c r="B168" s="58">
        <v>27.441609273318875</v>
      </c>
      <c r="C168" s="58">
        <v>26.315174005784527</v>
      </c>
      <c r="D168" s="58">
        <v>25.860090057845262</v>
      </c>
      <c r="E168" s="58">
        <v>31.704889451273388</v>
      </c>
      <c r="F168" s="58">
        <v>34.091062228850319</v>
      </c>
      <c r="G168" s="67"/>
      <c r="H168" s="58">
        <v>26.566143724821814</v>
      </c>
      <c r="I168" s="66">
        <v>29.168445585281589</v>
      </c>
      <c r="J168" s="66">
        <v>33.687738955169912</v>
      </c>
      <c r="K168" s="56"/>
      <c r="L168" s="56"/>
      <c r="M168" s="65"/>
      <c r="N168" s="65"/>
      <c r="O168" s="23"/>
    </row>
    <row r="169" spans="1:15" x14ac:dyDescent="0.35">
      <c r="A169" s="118">
        <v>37347</v>
      </c>
      <c r="B169" s="58">
        <v>27.142601510791369</v>
      </c>
      <c r="C169" s="58">
        <v>25.823997320143885</v>
      </c>
      <c r="D169" s="58">
        <v>25.230472464028775</v>
      </c>
      <c r="E169" s="58">
        <v>30.950316147082333</v>
      </c>
      <c r="F169" s="58">
        <v>26.986231846522784</v>
      </c>
      <c r="G169" s="67"/>
      <c r="H169" s="58">
        <v>26.628038478931138</v>
      </c>
      <c r="I169" s="66">
        <v>29.01359853717026</v>
      </c>
      <c r="J169" s="66">
        <v>32.386424208633095</v>
      </c>
      <c r="K169" s="56"/>
      <c r="L169" s="56"/>
      <c r="M169" s="65"/>
      <c r="N169" s="65"/>
      <c r="O169" s="23"/>
    </row>
    <row r="170" spans="1:15" x14ac:dyDescent="0.35">
      <c r="A170" s="118">
        <v>37377</v>
      </c>
      <c r="B170" s="58">
        <v>26.948778274023915</v>
      </c>
      <c r="C170" s="58"/>
      <c r="D170" s="58"/>
      <c r="E170" s="58"/>
      <c r="F170" s="58"/>
      <c r="G170" s="67"/>
      <c r="H170" s="58"/>
      <c r="I170" s="66"/>
      <c r="J170" s="66"/>
      <c r="K170" s="56"/>
      <c r="L170" s="56"/>
      <c r="M170" s="65"/>
      <c r="N170" s="65"/>
      <c r="O170" s="23"/>
    </row>
    <row r="171" spans="1:15" x14ac:dyDescent="0.35">
      <c r="A171" s="118">
        <v>37408</v>
      </c>
      <c r="B171" s="58">
        <v>26.352248286937904</v>
      </c>
      <c r="C171" s="58">
        <v>26.712447359029262</v>
      </c>
      <c r="D171" s="58">
        <v>24.755635546038537</v>
      </c>
      <c r="E171" s="58">
        <v>30.765249028471722</v>
      </c>
      <c r="F171" s="58">
        <v>34.102093210206995</v>
      </c>
      <c r="G171" s="67"/>
      <c r="H171" s="58">
        <v>25.536163230345672</v>
      </c>
      <c r="I171" s="66">
        <v>28.435871758267908</v>
      </c>
      <c r="J171" s="66">
        <v>31.716786152748028</v>
      </c>
      <c r="K171" s="56"/>
      <c r="L171" s="56"/>
      <c r="M171" s="65"/>
      <c r="N171" s="65"/>
      <c r="O171" s="23"/>
    </row>
    <row r="172" spans="1:15" x14ac:dyDescent="0.35">
      <c r="A172" s="118">
        <v>37438</v>
      </c>
      <c r="B172" s="58">
        <v>29.388907757379407</v>
      </c>
      <c r="C172" s="58">
        <v>26.849813300935928</v>
      </c>
      <c r="D172" s="58">
        <v>24.498497534197266</v>
      </c>
      <c r="E172" s="58">
        <v>31.53260107191425</v>
      </c>
      <c r="F172" s="58">
        <v>34.399231002519798</v>
      </c>
      <c r="G172" s="67"/>
      <c r="H172" s="58">
        <v>26.072893551373031</v>
      </c>
      <c r="I172" s="66">
        <v>29.04339950403968</v>
      </c>
      <c r="J172" s="66">
        <v>32.096390712742981</v>
      </c>
      <c r="K172" s="56"/>
      <c r="L172" s="56"/>
      <c r="M172" s="65"/>
      <c r="N172" s="65"/>
      <c r="O172" s="23"/>
    </row>
    <row r="173" spans="1:15" x14ac:dyDescent="0.35">
      <c r="A173" s="118">
        <v>37469</v>
      </c>
      <c r="B173" s="58">
        <v>33.765805287422566</v>
      </c>
      <c r="C173" s="58">
        <v>27.004940120299668</v>
      </c>
      <c r="D173" s="58">
        <v>24.13455921336983</v>
      </c>
      <c r="E173" s="58">
        <v>32.082084481903024</v>
      </c>
      <c r="F173" s="58">
        <v>35.495590152715749</v>
      </c>
      <c r="G173" s="67"/>
      <c r="H173" s="58">
        <v>26.456304525901988</v>
      </c>
      <c r="I173" s="66">
        <v>28.854423466039155</v>
      </c>
      <c r="J173" s="66">
        <v>31.946161468088171</v>
      </c>
      <c r="K173" s="56"/>
      <c r="L173" s="56"/>
      <c r="M173" s="65"/>
      <c r="N173" s="65"/>
      <c r="O173" s="23"/>
    </row>
    <row r="174" spans="1:15" ht="15" thickBot="1" x14ac:dyDescent="0.4">
      <c r="A174" s="119">
        <v>37500</v>
      </c>
      <c r="B174" s="60">
        <v>31.183706733534656</v>
      </c>
      <c r="C174" s="60">
        <v>26.881597857348289</v>
      </c>
      <c r="D174" s="60">
        <v>23.963583710813914</v>
      </c>
      <c r="E174" s="60">
        <v>31.30091652286454</v>
      </c>
      <c r="F174" s="60">
        <v>36.379667655306292</v>
      </c>
      <c r="G174" s="71"/>
      <c r="H174" s="60">
        <v>26.394121615514198</v>
      </c>
      <c r="I174" s="72">
        <v>28.471121145304057</v>
      </c>
      <c r="J174" s="72">
        <v>31.940983894161633</v>
      </c>
      <c r="K174" s="64"/>
      <c r="L174" s="64"/>
      <c r="M174" s="73"/>
      <c r="N174" s="73"/>
      <c r="O174" s="69"/>
    </row>
    <row r="175" spans="1:15" x14ac:dyDescent="0.35">
      <c r="A175" s="118">
        <v>37530</v>
      </c>
      <c r="B175" s="58">
        <v>30.02644052855495</v>
      </c>
      <c r="C175" s="58">
        <v>27.82369581049899</v>
      </c>
      <c r="D175" s="58">
        <v>23.846489454139025</v>
      </c>
      <c r="E175" s="58">
        <v>31.693575858090565</v>
      </c>
      <c r="F175" s="58">
        <v>37.110999062590139</v>
      </c>
      <c r="G175" s="74"/>
      <c r="H175" s="58">
        <v>26.043101240265354</v>
      </c>
      <c r="I175" s="66">
        <v>28.938753693555107</v>
      </c>
      <c r="J175" s="66">
        <v>32.178077480530717</v>
      </c>
      <c r="K175" s="56"/>
      <c r="L175" s="56"/>
      <c r="M175" s="65"/>
      <c r="N175" s="65"/>
      <c r="O175" s="23"/>
    </row>
    <row r="176" spans="1:15" x14ac:dyDescent="0.35">
      <c r="A176" s="118">
        <v>37561</v>
      </c>
      <c r="B176" s="58">
        <v>27.569650888105855</v>
      </c>
      <c r="C176" s="58">
        <v>28.287281838774629</v>
      </c>
      <c r="D176" s="58">
        <v>23.079360635696823</v>
      </c>
      <c r="E176" s="58">
        <v>31.440395480767691</v>
      </c>
      <c r="F176" s="58">
        <v>36.111905670214298</v>
      </c>
      <c r="G176" s="67"/>
      <c r="H176" s="58">
        <v>33.875861991740457</v>
      </c>
      <c r="I176" s="66">
        <v>28.807269795611806</v>
      </c>
      <c r="J176" s="66">
        <v>34.356564055084135</v>
      </c>
      <c r="K176" s="56"/>
      <c r="L176" s="56"/>
      <c r="M176" s="65"/>
      <c r="N176" s="65"/>
      <c r="O176" s="23"/>
    </row>
    <row r="177" spans="1:15" x14ac:dyDescent="0.35">
      <c r="A177" s="118">
        <v>37591</v>
      </c>
      <c r="B177" s="58">
        <v>27.937234401955141</v>
      </c>
      <c r="C177" s="58">
        <v>28.747277799741237</v>
      </c>
      <c r="D177" s="58">
        <v>24.421951732317421</v>
      </c>
      <c r="E177" s="58">
        <v>31.744834619193664</v>
      </c>
      <c r="F177" s="58">
        <v>35.649968363642898</v>
      </c>
      <c r="G177" s="67"/>
      <c r="H177" s="58">
        <v>44.01816062186807</v>
      </c>
      <c r="I177" s="66">
        <v>28.586627683534605</v>
      </c>
      <c r="J177" s="66">
        <v>33.068528177113286</v>
      </c>
      <c r="K177" s="56"/>
      <c r="L177" s="56"/>
      <c r="M177" s="65"/>
      <c r="N177" s="65"/>
      <c r="O177" s="23"/>
    </row>
    <row r="178" spans="1:15" x14ac:dyDescent="0.35">
      <c r="A178" s="118">
        <v>37622</v>
      </c>
      <c r="B178" s="58">
        <v>27.538769868496281</v>
      </c>
      <c r="C178" s="58">
        <v>29.355252376357917</v>
      </c>
      <c r="D178" s="58">
        <v>24.874325364493995</v>
      </c>
      <c r="E178" s="58">
        <v>31.972081332189823</v>
      </c>
      <c r="F178" s="58">
        <v>35.983944539736989</v>
      </c>
      <c r="G178" s="67"/>
      <c r="H178" s="58">
        <v>28.036403001715268</v>
      </c>
      <c r="I178" s="66">
        <v>30.009375190585089</v>
      </c>
      <c r="J178" s="66">
        <v>33.564669453973693</v>
      </c>
      <c r="K178" s="56"/>
      <c r="L178" s="56"/>
      <c r="M178" s="65"/>
      <c r="N178" s="65"/>
      <c r="O178" s="23"/>
    </row>
    <row r="179" spans="1:15" x14ac:dyDescent="0.35">
      <c r="A179" s="118">
        <v>37653</v>
      </c>
      <c r="B179" s="58">
        <v>27.62517643489435</v>
      </c>
      <c r="C179" s="58">
        <v>30.203598550828097</v>
      </c>
      <c r="D179" s="58">
        <v>25.44748240291262</v>
      </c>
      <c r="E179" s="58">
        <v>32.235798155022529</v>
      </c>
      <c r="F179" s="58">
        <v>37.038744619146208</v>
      </c>
      <c r="G179" s="67"/>
      <c r="H179" s="58">
        <v>43.198348719099293</v>
      </c>
      <c r="I179" s="66">
        <v>40.293985674852465</v>
      </c>
      <c r="J179" s="66">
        <v>33.565261921758996</v>
      </c>
      <c r="K179" s="56"/>
      <c r="L179" s="56"/>
      <c r="M179" s="65"/>
      <c r="N179" s="65"/>
      <c r="O179" s="23"/>
    </row>
    <row r="180" spans="1:15" x14ac:dyDescent="0.35">
      <c r="A180" s="118">
        <v>37681</v>
      </c>
      <c r="B180" s="58">
        <v>31.042216622757046</v>
      </c>
      <c r="C180" s="58">
        <v>31.950627687980631</v>
      </c>
      <c r="D180" s="58">
        <v>26.438591213329534</v>
      </c>
      <c r="E180" s="58">
        <v>34.547001091806699</v>
      </c>
      <c r="F180" s="58">
        <v>36.92468294289376</v>
      </c>
      <c r="G180" s="67"/>
      <c r="H180" s="75"/>
      <c r="I180" s="66">
        <v>41.09787851672521</v>
      </c>
      <c r="J180" s="66">
        <v>33.738178795215042</v>
      </c>
      <c r="K180" s="56"/>
      <c r="L180" s="56"/>
      <c r="M180" s="65"/>
      <c r="N180" s="65"/>
      <c r="O180" s="23"/>
    </row>
    <row r="181" spans="1:15" x14ac:dyDescent="0.35">
      <c r="A181" s="118">
        <v>37712</v>
      </c>
      <c r="B181" s="58">
        <v>30.377836886765543</v>
      </c>
      <c r="C181" s="58">
        <v>31.179389457358816</v>
      </c>
      <c r="D181" s="58">
        <v>25.459356674272669</v>
      </c>
      <c r="E181" s="58">
        <v>32.02496733377702</v>
      </c>
      <c r="F181" s="58">
        <v>35.882572447233315</v>
      </c>
      <c r="G181" s="67"/>
      <c r="H181" s="58">
        <v>28.842117417760033</v>
      </c>
      <c r="I181" s="66">
        <v>29.105370777080566</v>
      </c>
      <c r="J181" s="66">
        <v>33.998469053051906</v>
      </c>
      <c r="K181" s="56"/>
      <c r="L181" s="56"/>
      <c r="M181" s="65"/>
      <c r="N181" s="65"/>
      <c r="O181" s="23"/>
    </row>
    <row r="182" spans="1:15" x14ac:dyDescent="0.35">
      <c r="A182" s="118">
        <v>37742</v>
      </c>
      <c r="B182" s="58">
        <v>29.530739963503652</v>
      </c>
      <c r="C182" s="58">
        <v>31.919656075568913</v>
      </c>
      <c r="D182" s="58">
        <v>25.698330166738231</v>
      </c>
      <c r="E182" s="58">
        <v>32.353369177679184</v>
      </c>
      <c r="F182" s="58">
        <v>36.518953592385856</v>
      </c>
      <c r="G182" s="67"/>
      <c r="H182" s="75"/>
      <c r="I182" s="66">
        <v>33.874520951608545</v>
      </c>
      <c r="J182" s="66">
        <v>33.539655664090454</v>
      </c>
      <c r="K182" s="56"/>
      <c r="L182" s="56"/>
      <c r="M182" s="65"/>
      <c r="N182" s="65"/>
      <c r="O182" s="23"/>
    </row>
    <row r="183" spans="1:15" x14ac:dyDescent="0.35">
      <c r="A183" s="118">
        <v>37773</v>
      </c>
      <c r="B183" s="58">
        <v>27.808369764117227</v>
      </c>
      <c r="C183" s="58">
        <v>29.935163884917795</v>
      </c>
      <c r="D183" s="58">
        <v>25.017902394567546</v>
      </c>
      <c r="E183" s="58">
        <v>32.054527567309975</v>
      </c>
      <c r="F183" s="58">
        <v>36.172679181558252</v>
      </c>
      <c r="G183" s="67"/>
      <c r="H183" s="58">
        <v>26.829288879812108</v>
      </c>
      <c r="I183" s="66">
        <v>29.050378802319123</v>
      </c>
      <c r="J183" s="66">
        <v>32.811756790564687</v>
      </c>
      <c r="K183" s="56"/>
      <c r="L183" s="56"/>
      <c r="M183" s="65"/>
      <c r="N183" s="65"/>
      <c r="O183" s="23"/>
    </row>
    <row r="184" spans="1:15" x14ac:dyDescent="0.35">
      <c r="A184" s="118">
        <v>37803</v>
      </c>
      <c r="B184" s="58">
        <v>29.432216906993514</v>
      </c>
      <c r="C184" s="58">
        <v>29.213507209805336</v>
      </c>
      <c r="D184" s="58">
        <v>24.990570439798127</v>
      </c>
      <c r="E184" s="58">
        <v>31.947037755347271</v>
      </c>
      <c r="F184" s="58">
        <v>35.126334093366985</v>
      </c>
      <c r="G184" s="67"/>
      <c r="H184" s="58">
        <v>26.480950005149857</v>
      </c>
      <c r="I184" s="66">
        <v>29.243486109108389</v>
      </c>
      <c r="J184" s="66">
        <v>32.532988968997834</v>
      </c>
      <c r="K184" s="56"/>
      <c r="L184" s="56"/>
      <c r="M184" s="65"/>
      <c r="N184" s="65"/>
      <c r="O184" s="23"/>
    </row>
    <row r="185" spans="1:15" x14ac:dyDescent="0.35">
      <c r="A185" s="118">
        <v>37834</v>
      </c>
      <c r="B185" s="58">
        <v>31.916659891696746</v>
      </c>
      <c r="C185" s="58">
        <v>28.785823086642601</v>
      </c>
      <c r="D185" s="58">
        <v>24.796283411552348</v>
      </c>
      <c r="E185" s="58">
        <v>31.90915434416366</v>
      </c>
      <c r="F185" s="58">
        <v>34.686718673285199</v>
      </c>
      <c r="G185" s="67"/>
      <c r="H185" s="58">
        <v>26.370840061887566</v>
      </c>
      <c r="I185" s="66">
        <v>29.449609161652624</v>
      </c>
      <c r="J185" s="66">
        <v>32.885899007220218</v>
      </c>
      <c r="K185" s="56"/>
      <c r="L185" s="56"/>
      <c r="M185" s="65"/>
      <c r="N185" s="65"/>
      <c r="O185" s="23"/>
    </row>
    <row r="186" spans="1:15" ht="15" thickBot="1" x14ac:dyDescent="0.4">
      <c r="A186" s="119">
        <v>37865</v>
      </c>
      <c r="B186" s="60">
        <v>31.779159322520453</v>
      </c>
      <c r="C186" s="60">
        <v>27.035425236830768</v>
      </c>
      <c r="D186" s="60">
        <v>24.531816061432469</v>
      </c>
      <c r="E186" s="60">
        <v>31.985334912205158</v>
      </c>
      <c r="F186" s="60">
        <v>34.967420661690824</v>
      </c>
      <c r="G186" s="71"/>
      <c r="H186" s="60">
        <v>26.084527527732778</v>
      </c>
      <c r="I186" s="72">
        <v>29.26390755625728</v>
      </c>
      <c r="J186" s="72">
        <v>33.537077508253191</v>
      </c>
      <c r="K186" s="64"/>
      <c r="L186" s="64"/>
      <c r="M186" s="73"/>
      <c r="N186" s="73"/>
      <c r="O186" s="69"/>
    </row>
    <row r="187" spans="1:15" x14ac:dyDescent="0.35">
      <c r="A187" s="118">
        <v>37895</v>
      </c>
      <c r="B187" s="58">
        <v>30.773779992816092</v>
      </c>
      <c r="C187" s="58">
        <v>27.92752828663793</v>
      </c>
      <c r="D187" s="58">
        <v>24.108764816810343</v>
      </c>
      <c r="E187" s="58">
        <v>31.77197647669221</v>
      </c>
      <c r="F187" s="58">
        <v>34.094576706178159</v>
      </c>
      <c r="G187" s="74"/>
      <c r="H187" s="58">
        <v>25.898273747947453</v>
      </c>
      <c r="I187" s="66">
        <v>29.082209211366546</v>
      </c>
      <c r="J187" s="66">
        <v>32.568089655172415</v>
      </c>
      <c r="K187" s="56"/>
      <c r="L187" s="56"/>
      <c r="M187" s="65"/>
      <c r="N187" s="65"/>
      <c r="O187" s="23"/>
    </row>
    <row r="188" spans="1:15" x14ac:dyDescent="0.35">
      <c r="A188" s="118">
        <v>37926</v>
      </c>
      <c r="B188" s="58">
        <v>28.096533441883768</v>
      </c>
      <c r="C188" s="58">
        <v>27.62274001574578</v>
      </c>
      <c r="D188" s="58">
        <v>23.930803660893215</v>
      </c>
      <c r="E188" s="58">
        <v>31.540920340681357</v>
      </c>
      <c r="F188" s="58">
        <v>33.7922000250501</v>
      </c>
      <c r="G188" s="67"/>
      <c r="H188" s="58">
        <v>25.802063044456265</v>
      </c>
      <c r="I188" s="66">
        <v>28.950443792346601</v>
      </c>
      <c r="J188" s="66">
        <v>33.277824720870314</v>
      </c>
      <c r="K188" s="56"/>
      <c r="L188" s="56"/>
      <c r="M188" s="65"/>
      <c r="N188" s="65"/>
      <c r="O188" s="23"/>
    </row>
    <row r="189" spans="1:15" x14ac:dyDescent="0.35">
      <c r="A189" s="118">
        <v>37956</v>
      </c>
      <c r="B189" s="58">
        <v>26.994740222966232</v>
      </c>
      <c r="C189" s="58">
        <v>27.187607636415443</v>
      </c>
      <c r="D189" s="58">
        <v>23.985604662345061</v>
      </c>
      <c r="E189" s="58">
        <v>30.417943766080299</v>
      </c>
      <c r="F189" s="58">
        <v>32.896886985325551</v>
      </c>
      <c r="G189" s="67"/>
      <c r="H189" s="58">
        <v>25.391935562656464</v>
      </c>
      <c r="I189" s="66">
        <v>28.506152047616784</v>
      </c>
      <c r="J189" s="66">
        <v>32.567699672317993</v>
      </c>
      <c r="K189" s="56"/>
      <c r="L189" s="56"/>
      <c r="M189" s="65"/>
      <c r="N189" s="65"/>
      <c r="O189" s="23"/>
    </row>
    <row r="190" spans="1:15" x14ac:dyDescent="0.35">
      <c r="A190" s="118">
        <v>37987</v>
      </c>
      <c r="B190" s="58">
        <v>30.009008961925282</v>
      </c>
      <c r="C190" s="58">
        <v>27.361332956178167</v>
      </c>
      <c r="D190" s="58">
        <v>24.239111943247121</v>
      </c>
      <c r="E190" s="58">
        <v>31.665164248084302</v>
      </c>
      <c r="F190" s="58">
        <v>36.426059096623561</v>
      </c>
      <c r="G190" s="67"/>
      <c r="H190" s="58">
        <v>25.680640599343185</v>
      </c>
      <c r="I190" s="66">
        <v>28.977207359514686</v>
      </c>
      <c r="J190" s="66">
        <v>32.99273615301724</v>
      </c>
      <c r="K190" s="56"/>
      <c r="L190" s="56"/>
      <c r="M190" s="65"/>
      <c r="N190" s="65"/>
      <c r="O190" s="23"/>
    </row>
    <row r="191" spans="1:15" x14ac:dyDescent="0.35">
      <c r="A191" s="118">
        <v>38018</v>
      </c>
      <c r="B191" s="58">
        <v>28.88340891959799</v>
      </c>
      <c r="C191" s="58">
        <v>27.235904989231877</v>
      </c>
      <c r="D191" s="58">
        <v>24.841478338119163</v>
      </c>
      <c r="E191" s="58">
        <v>31.671988250777694</v>
      </c>
      <c r="F191" s="58">
        <v>35.540077826633173</v>
      </c>
      <c r="G191" s="67"/>
      <c r="H191" s="58">
        <v>25.705716480360987</v>
      </c>
      <c r="I191" s="66">
        <v>28.975558785993467</v>
      </c>
      <c r="J191" s="66">
        <v>32.349374569274943</v>
      </c>
      <c r="K191" s="65"/>
      <c r="L191" s="65"/>
      <c r="M191" s="65"/>
      <c r="N191" s="65"/>
      <c r="O191" s="23"/>
    </row>
    <row r="192" spans="1:15" x14ac:dyDescent="0.35">
      <c r="A192" s="118">
        <v>38047</v>
      </c>
      <c r="B192" s="58">
        <v>29.849513201320129</v>
      </c>
      <c r="C192" s="58">
        <v>29.167091566221842</v>
      </c>
      <c r="D192" s="58">
        <v>25.160025631367478</v>
      </c>
      <c r="E192" s="58">
        <v>31.480364176272694</v>
      </c>
      <c r="F192" s="58">
        <v>36.557280554957664</v>
      </c>
      <c r="G192" s="67"/>
      <c r="H192" s="58">
        <v>29.901236024844717</v>
      </c>
      <c r="I192" s="66">
        <v>37.916982214888158</v>
      </c>
      <c r="J192" s="66">
        <v>34.934622255703829</v>
      </c>
      <c r="K192" s="65"/>
      <c r="L192" s="65"/>
      <c r="M192" s="65"/>
      <c r="N192" s="65"/>
      <c r="O192" s="23"/>
    </row>
    <row r="193" spans="1:15" x14ac:dyDescent="0.35">
      <c r="A193" s="118">
        <v>38078</v>
      </c>
      <c r="B193" s="58">
        <v>30.236359478179732</v>
      </c>
      <c r="C193" s="58">
        <v>29.154799705713465</v>
      </c>
      <c r="D193" s="58">
        <v>25.065628750358886</v>
      </c>
      <c r="E193" s="58">
        <v>31.358617642836634</v>
      </c>
      <c r="F193" s="58">
        <v>36.180359657622738</v>
      </c>
      <c r="G193" s="67"/>
      <c r="H193" s="58">
        <v>29.25102233296419</v>
      </c>
      <c r="I193" s="66">
        <v>29.193915382652253</v>
      </c>
      <c r="J193" s="66">
        <v>32.917366063738157</v>
      </c>
      <c r="K193" s="65"/>
      <c r="L193" s="65"/>
      <c r="M193" s="65"/>
      <c r="N193" s="65"/>
      <c r="O193" s="23"/>
    </row>
    <row r="194" spans="1:15" x14ac:dyDescent="0.35">
      <c r="A194" s="118">
        <v>38108</v>
      </c>
      <c r="B194" s="58">
        <v>30.142851810444316</v>
      </c>
      <c r="C194" s="58">
        <v>29.160277138632431</v>
      </c>
      <c r="D194" s="58">
        <v>24.404861115118294</v>
      </c>
      <c r="E194" s="58">
        <v>31.59768488331089</v>
      </c>
      <c r="F194" s="58">
        <v>36.452903409910562</v>
      </c>
      <c r="G194" s="67"/>
      <c r="H194" s="58">
        <v>26.360078085071304</v>
      </c>
      <c r="I194" s="66">
        <v>29.247867041738793</v>
      </c>
      <c r="J194" s="66">
        <v>32.44131992931333</v>
      </c>
      <c r="K194" s="65"/>
      <c r="L194" s="65"/>
      <c r="M194" s="65"/>
      <c r="N194" s="65"/>
      <c r="O194" s="23"/>
    </row>
    <row r="195" spans="1:15" x14ac:dyDescent="0.35">
      <c r="A195" s="118">
        <v>38139</v>
      </c>
      <c r="B195" s="58">
        <v>27.601434529773833</v>
      </c>
      <c r="C195" s="58">
        <v>28.451624874749498</v>
      </c>
      <c r="D195" s="58">
        <v>25.544947860005724</v>
      </c>
      <c r="E195" s="58">
        <v>31.306447267550968</v>
      </c>
      <c r="F195" s="58">
        <v>34.667246770326365</v>
      </c>
      <c r="G195" s="67"/>
      <c r="H195" s="58">
        <v>25.824093206821804</v>
      </c>
      <c r="I195" s="66">
        <v>28.552741387536983</v>
      </c>
      <c r="J195" s="66">
        <v>30.959584937732608</v>
      </c>
      <c r="K195" s="66">
        <v>46.370891306422379</v>
      </c>
      <c r="L195" s="66">
        <v>25.808324248496991</v>
      </c>
      <c r="M195" s="66">
        <v>25.555093329516176</v>
      </c>
      <c r="N195" s="66">
        <v>28.829471146374374</v>
      </c>
      <c r="O195" s="23"/>
    </row>
    <row r="196" spans="1:15" x14ac:dyDescent="0.35">
      <c r="A196" s="118">
        <v>38169</v>
      </c>
      <c r="B196" s="58">
        <v>27.739412915115945</v>
      </c>
      <c r="C196" s="58">
        <v>28.155377165044371</v>
      </c>
      <c r="D196" s="58">
        <v>25.621038881334098</v>
      </c>
      <c r="E196" s="58">
        <v>31.020570482234309</v>
      </c>
      <c r="F196" s="58">
        <v>35.906008597552244</v>
      </c>
      <c r="G196" s="67"/>
      <c r="H196" s="58">
        <v>25.760321684184692</v>
      </c>
      <c r="I196" s="66">
        <v>28.420624829023126</v>
      </c>
      <c r="J196" s="66">
        <v>32.003553750357852</v>
      </c>
      <c r="K196" s="66">
        <v>29.559171962973569</v>
      </c>
      <c r="L196" s="66">
        <v>25.882994904093902</v>
      </c>
      <c r="M196" s="66">
        <v>25.258033982250215</v>
      </c>
      <c r="N196" s="66">
        <v>27.761588012760217</v>
      </c>
      <c r="O196" s="23"/>
    </row>
    <row r="197" spans="1:15" x14ac:dyDescent="0.35">
      <c r="A197" s="118">
        <v>38200</v>
      </c>
      <c r="B197" s="58">
        <v>27.659263705983392</v>
      </c>
      <c r="C197" s="58">
        <v>27.78709662181506</v>
      </c>
      <c r="D197" s="58">
        <v>25.628140709991413</v>
      </c>
      <c r="E197" s="58">
        <v>31.11120334319433</v>
      </c>
      <c r="F197" s="58">
        <v>36.456907591969653</v>
      </c>
      <c r="G197" s="67"/>
      <c r="H197" s="58">
        <v>25.831050100200397</v>
      </c>
      <c r="I197" s="66">
        <v>28.170820824188059</v>
      </c>
      <c r="J197" s="66">
        <v>32.113124821070713</v>
      </c>
      <c r="K197" s="66">
        <v>29.421193577631453</v>
      </c>
      <c r="L197" s="66">
        <v>26.818001374176923</v>
      </c>
      <c r="M197" s="66">
        <v>25.241801231033499</v>
      </c>
      <c r="N197" s="66">
        <v>27.924060460206125</v>
      </c>
      <c r="O197" s="23"/>
    </row>
    <row r="198" spans="1:15" ht="15" thickBot="1" x14ac:dyDescent="0.4">
      <c r="A198" s="119">
        <v>38231</v>
      </c>
      <c r="B198" s="60">
        <v>27.208804859719439</v>
      </c>
      <c r="C198" s="60">
        <v>27.249386737761235</v>
      </c>
      <c r="D198" s="60">
        <v>25.628140709991413</v>
      </c>
      <c r="E198" s="60">
        <v>30.833442933486019</v>
      </c>
      <c r="F198" s="60">
        <v>36.83685542513598</v>
      </c>
      <c r="G198" s="71"/>
      <c r="H198" s="60">
        <v>25.604951065396097</v>
      </c>
      <c r="I198" s="72">
        <v>27.930485924229409</v>
      </c>
      <c r="J198" s="72">
        <v>32.328208774692243</v>
      </c>
      <c r="K198" s="72">
        <v>29.199345977669623</v>
      </c>
      <c r="L198" s="72">
        <v>26.022596564557688</v>
      </c>
      <c r="M198" s="72">
        <v>25.056747867162898</v>
      </c>
      <c r="N198" s="72">
        <v>26.88110619453192</v>
      </c>
      <c r="O198" s="70"/>
    </row>
    <row r="199" spans="1:15" x14ac:dyDescent="0.35">
      <c r="A199" s="118">
        <v>38261</v>
      </c>
      <c r="B199" s="58">
        <v>26.531087496421414</v>
      </c>
      <c r="C199" s="58">
        <v>26.66602224091039</v>
      </c>
      <c r="D199" s="58">
        <v>25.091445372888632</v>
      </c>
      <c r="E199" s="58">
        <v>30.207208854684161</v>
      </c>
      <c r="F199" s="58">
        <v>48.082093830518176</v>
      </c>
      <c r="G199" s="74"/>
      <c r="H199" s="58">
        <v>25.587558831949611</v>
      </c>
      <c r="I199" s="66">
        <v>27.814151207176259</v>
      </c>
      <c r="J199" s="66">
        <v>31.818906205267677</v>
      </c>
      <c r="K199" s="66">
        <v>27.776274787670577</v>
      </c>
      <c r="L199" s="66">
        <v>27.110190896077871</v>
      </c>
      <c r="M199" s="66">
        <v>24.681771314056686</v>
      </c>
      <c r="N199" s="66">
        <v>28.327850146722014</v>
      </c>
      <c r="O199" s="68"/>
    </row>
    <row r="200" spans="1:15" x14ac:dyDescent="0.35">
      <c r="A200" s="118">
        <v>38292</v>
      </c>
      <c r="B200" s="58">
        <v>27.307215913970797</v>
      </c>
      <c r="C200" s="58">
        <v>28.067111580303465</v>
      </c>
      <c r="D200" s="58">
        <v>25.59871884841111</v>
      </c>
      <c r="E200" s="58">
        <v>30.04344904093902</v>
      </c>
      <c r="F200" s="58">
        <v>30.551737063412542</v>
      </c>
      <c r="G200" s="67"/>
      <c r="H200" s="58">
        <v>32.608223733180651</v>
      </c>
      <c r="I200" s="66">
        <v>28.080187963228042</v>
      </c>
      <c r="J200" s="66">
        <v>32.213564969224166</v>
      </c>
      <c r="K200" s="66">
        <v>30.708991840824506</v>
      </c>
      <c r="L200" s="66">
        <v>28.400694617807041</v>
      </c>
      <c r="M200" s="66">
        <v>27.942931033495562</v>
      </c>
      <c r="N200" s="66">
        <v>27.828693046807903</v>
      </c>
      <c r="O200" s="68"/>
    </row>
    <row r="201" spans="1:15" x14ac:dyDescent="0.35">
      <c r="A201" s="118">
        <v>38322</v>
      </c>
      <c r="B201" s="58">
        <v>26.939949917692527</v>
      </c>
      <c r="C201" s="58">
        <v>27.870289471800746</v>
      </c>
      <c r="D201" s="58">
        <v>25.267976542370455</v>
      </c>
      <c r="E201" s="58">
        <v>29.92218084067294</v>
      </c>
      <c r="F201" s="58">
        <v>30.3092603421128</v>
      </c>
      <c r="G201" s="67"/>
      <c r="H201" s="58">
        <v>30.069421442885773</v>
      </c>
      <c r="I201" s="66">
        <v>27.881787670579246</v>
      </c>
      <c r="J201" s="66">
        <v>32.521987242341822</v>
      </c>
      <c r="K201" s="66">
        <v>30.668409962782704</v>
      </c>
      <c r="L201" s="66">
        <v>28.53217990266246</v>
      </c>
      <c r="M201" s="66">
        <v>28.590617807042655</v>
      </c>
      <c r="N201" s="66">
        <v>27.69071466146579</v>
      </c>
      <c r="O201" s="68"/>
    </row>
    <row r="202" spans="1:15" x14ac:dyDescent="0.35">
      <c r="A202" s="118">
        <v>38353</v>
      </c>
      <c r="B202" s="58">
        <v>32.726925726452905</v>
      </c>
      <c r="C202" s="58">
        <v>33.731762013823563</v>
      </c>
      <c r="D202" s="58">
        <v>26.675153163469794</v>
      </c>
      <c r="E202" s="58">
        <v>30.332594921986825</v>
      </c>
      <c r="F202" s="58">
        <v>36.424949363011734</v>
      </c>
      <c r="G202" s="67"/>
      <c r="H202" s="58">
        <v>34.056996779272829</v>
      </c>
      <c r="I202" s="66">
        <v>31.031392316378785</v>
      </c>
      <c r="J202" s="66">
        <v>35.362718705267682</v>
      </c>
      <c r="K202" s="66">
        <v>32.118535738142953</v>
      </c>
      <c r="L202" s="66">
        <v>36.133977297452049</v>
      </c>
      <c r="M202" s="66">
        <v>30.658670312052674</v>
      </c>
      <c r="N202" s="66">
        <v>29.446895433724592</v>
      </c>
      <c r="O202" s="68"/>
    </row>
    <row r="203" spans="1:15" x14ac:dyDescent="0.35">
      <c r="A203" s="118">
        <v>38384</v>
      </c>
      <c r="B203" s="58">
        <v>34.379912580262562</v>
      </c>
      <c r="C203" s="58">
        <v>30.085190401210589</v>
      </c>
      <c r="D203" s="58">
        <v>25.745828156312623</v>
      </c>
      <c r="E203" s="58">
        <v>31.201047112081298</v>
      </c>
      <c r="F203" s="58">
        <v>36.032319692957344</v>
      </c>
      <c r="G203" s="67"/>
      <c r="H203" s="58">
        <v>38.76584736138944</v>
      </c>
      <c r="I203" s="66">
        <v>30.329325826255683</v>
      </c>
      <c r="J203" s="66">
        <v>34.321793533495565</v>
      </c>
      <c r="K203" s="66">
        <v>43.524748926424273</v>
      </c>
      <c r="L203" s="66">
        <v>29.986634411680502</v>
      </c>
      <c r="M203" s="66">
        <v>30.497966075007156</v>
      </c>
      <c r="N203" s="66">
        <v>28.870632765531063</v>
      </c>
      <c r="O203" s="68"/>
    </row>
    <row r="204" spans="1:15" x14ac:dyDescent="0.35">
      <c r="A204" s="118">
        <v>38412</v>
      </c>
      <c r="B204" s="58">
        <v>38.540134820661741</v>
      </c>
      <c r="C204" s="58">
        <v>31.661854337245916</v>
      </c>
      <c r="D204" s="58">
        <v>26.06338135198969</v>
      </c>
      <c r="E204" s="58">
        <v>31.272065398654448</v>
      </c>
      <c r="F204" s="58">
        <v>35.33126774978529</v>
      </c>
      <c r="G204" s="67"/>
      <c r="H204" s="58">
        <v>39.179241425708554</v>
      </c>
      <c r="I204" s="66">
        <v>31.153588860260204</v>
      </c>
      <c r="J204" s="66">
        <v>35.0066127254509</v>
      </c>
      <c r="K204" s="66">
        <v>38.035373556637083</v>
      </c>
      <c r="L204" s="66">
        <v>28.816253048955055</v>
      </c>
      <c r="M204" s="66">
        <v>31.12130372172917</v>
      </c>
      <c r="N204" s="66">
        <v>27.033288237188664</v>
      </c>
      <c r="O204" s="68"/>
    </row>
    <row r="205" spans="1:15" x14ac:dyDescent="0.35">
      <c r="A205" s="118">
        <v>38443</v>
      </c>
      <c r="B205" s="58">
        <v>35.057340073003147</v>
      </c>
      <c r="C205" s="58">
        <v>28.742123485065367</v>
      </c>
      <c r="D205" s="58">
        <v>25.865544696535927</v>
      </c>
      <c r="E205" s="58">
        <v>30.962509220120911</v>
      </c>
      <c r="F205" s="58">
        <v>34.364404505439452</v>
      </c>
      <c r="G205" s="67"/>
      <c r="H205" s="58">
        <v>31.787310314506563</v>
      </c>
      <c r="I205" s="66">
        <v>29.215127819130323</v>
      </c>
      <c r="J205" s="66">
        <v>32.499667209418838</v>
      </c>
      <c r="K205" s="66">
        <v>30.121907338486494</v>
      </c>
      <c r="L205" s="66">
        <v>26.873192728313768</v>
      </c>
      <c r="M205" s="66">
        <v>29.283756283996563</v>
      </c>
      <c r="N205" s="66">
        <v>28.230453639421704</v>
      </c>
      <c r="O205" s="68"/>
    </row>
    <row r="206" spans="1:15" x14ac:dyDescent="0.35">
      <c r="A206" s="118">
        <v>38473</v>
      </c>
      <c r="B206" s="58">
        <v>32.461114425279128</v>
      </c>
      <c r="C206" s="58">
        <v>28.537281624473433</v>
      </c>
      <c r="D206" s="58">
        <v>25.233481946034924</v>
      </c>
      <c r="E206" s="58">
        <v>30.411073112611781</v>
      </c>
      <c r="F206" s="58">
        <v>33.750603600057254</v>
      </c>
      <c r="G206" s="67"/>
      <c r="H206" s="58">
        <v>28.800484090630238</v>
      </c>
      <c r="I206" s="66">
        <v>28.816523594808668</v>
      </c>
      <c r="J206" s="66">
        <v>33.24840285929001</v>
      </c>
      <c r="K206" s="66">
        <v>32.30791783567134</v>
      </c>
      <c r="L206" s="66">
        <v>26.9235142570856</v>
      </c>
      <c r="M206" s="66">
        <v>28.860081477240193</v>
      </c>
      <c r="N206" s="66">
        <v>29.639659354423131</v>
      </c>
      <c r="O206" s="68"/>
    </row>
    <row r="207" spans="1:15" x14ac:dyDescent="0.35">
      <c r="A207" s="118">
        <v>38504</v>
      </c>
      <c r="B207" s="58">
        <v>30.938279451760664</v>
      </c>
      <c r="C207" s="58">
        <v>27.98884652979428</v>
      </c>
      <c r="D207" s="58">
        <v>24.803314038791868</v>
      </c>
      <c r="E207" s="58">
        <v>30.572535275908958</v>
      </c>
      <c r="F207" s="58">
        <v>33.515228707414835</v>
      </c>
      <c r="G207" s="67"/>
      <c r="H207" s="58">
        <v>25.690752750398758</v>
      </c>
      <c r="I207" s="66">
        <v>28.413861182682826</v>
      </c>
      <c r="J207" s="66">
        <v>32.482419911251071</v>
      </c>
      <c r="K207" s="66">
        <v>30.132729172630974</v>
      </c>
      <c r="L207" s="66">
        <v>28.223757629544803</v>
      </c>
      <c r="M207" s="66">
        <v>28.012731863727453</v>
      </c>
      <c r="N207" s="66">
        <v>27.706947412682506</v>
      </c>
      <c r="O207" s="68"/>
    </row>
    <row r="208" spans="1:15" x14ac:dyDescent="0.35">
      <c r="A208" s="118">
        <v>38534</v>
      </c>
      <c r="B208" s="58">
        <v>29.589946553821932</v>
      </c>
      <c r="C208" s="58">
        <v>27.842751768843808</v>
      </c>
      <c r="D208" s="58">
        <v>24.507066329086747</v>
      </c>
      <c r="E208" s="58">
        <v>30.235854886243072</v>
      </c>
      <c r="F208" s="58">
        <v>32.95316969653593</v>
      </c>
      <c r="G208" s="67"/>
      <c r="H208" s="58">
        <v>25.760321684184696</v>
      </c>
      <c r="I208" s="66">
        <v>28.519824975347522</v>
      </c>
      <c r="J208" s="66">
        <v>32.4174889063842</v>
      </c>
      <c r="K208" s="66">
        <v>28.428290294875467</v>
      </c>
      <c r="L208" s="66">
        <v>27.733528542799881</v>
      </c>
      <c r="M208" s="66">
        <v>27.283881334096765</v>
      </c>
      <c r="N208" s="66">
        <v>29.074556702691098</v>
      </c>
      <c r="O208" s="68"/>
    </row>
    <row r="209" spans="1:15" x14ac:dyDescent="0.35">
      <c r="A209" s="118">
        <v>38565</v>
      </c>
      <c r="B209" s="58">
        <v>28.070155221156597</v>
      </c>
      <c r="C209" s="58">
        <v>27.2456184205145</v>
      </c>
      <c r="D209" s="58">
        <v>24.235167746206699</v>
      </c>
      <c r="E209" s="58">
        <v>30.680823243124905</v>
      </c>
      <c r="F209" s="58">
        <v>32.772580339249927</v>
      </c>
      <c r="G209" s="67"/>
      <c r="H209" s="58">
        <v>25.934244018649544</v>
      </c>
      <c r="I209" s="66">
        <v>28.369221116836847</v>
      </c>
      <c r="J209" s="66">
        <v>31.831080768680216</v>
      </c>
      <c r="K209" s="66">
        <v>31.039057782231129</v>
      </c>
      <c r="L209" s="66">
        <v>26.994938362439161</v>
      </c>
      <c r="M209" s="66">
        <v>26.707618665903233</v>
      </c>
      <c r="N209" s="66">
        <v>28.192915402233037</v>
      </c>
      <c r="O209" s="68"/>
    </row>
    <row r="210" spans="1:15" ht="15" thickBot="1" x14ac:dyDescent="0.4">
      <c r="A210" s="119">
        <v>38596</v>
      </c>
      <c r="B210" s="60">
        <v>28.206104512596617</v>
      </c>
      <c r="C210" s="60">
        <v>27.086769355036605</v>
      </c>
      <c r="D210" s="60">
        <v>23.779636165187515</v>
      </c>
      <c r="E210" s="60">
        <v>28.766021702134431</v>
      </c>
      <c r="F210" s="60">
        <v>31.889924491840823</v>
      </c>
      <c r="G210" s="71"/>
      <c r="H210" s="60">
        <v>25.933084536419781</v>
      </c>
      <c r="I210" s="72">
        <v>28.107693458345267</v>
      </c>
      <c r="J210" s="72">
        <v>31.434392910821643</v>
      </c>
      <c r="K210" s="72">
        <v>29.386022616661894</v>
      </c>
      <c r="L210" s="72">
        <v>27.098827970226164</v>
      </c>
      <c r="M210" s="72">
        <v>26.652427311766388</v>
      </c>
      <c r="N210" s="72">
        <v>28.897010986258227</v>
      </c>
      <c r="O210" s="70"/>
    </row>
    <row r="211" spans="1:15" x14ac:dyDescent="0.35">
      <c r="A211" s="118">
        <v>38626</v>
      </c>
      <c r="B211" s="58">
        <v>27.584638712857345</v>
      </c>
      <c r="C211" s="58">
        <v>26.06350922405295</v>
      </c>
      <c r="D211" s="58">
        <v>22.681890649204334</v>
      </c>
      <c r="E211" s="58">
        <v>30.201478273795551</v>
      </c>
      <c r="F211" s="58">
        <v>30.218668057315867</v>
      </c>
      <c r="G211" s="74"/>
      <c r="H211" s="58">
        <v>24.97869921741405</v>
      </c>
      <c r="I211" s="66">
        <v>27.475954920277267</v>
      </c>
      <c r="J211" s="66">
        <v>30.59695419659203</v>
      </c>
      <c r="K211" s="66">
        <v>26.968468150025814</v>
      </c>
      <c r="L211" s="66">
        <v>26.052330319673285</v>
      </c>
      <c r="M211" s="66">
        <v>25.502967018729755</v>
      </c>
      <c r="N211" s="66">
        <v>26.971795204900715</v>
      </c>
      <c r="O211" s="68"/>
    </row>
    <row r="212" spans="1:15" x14ac:dyDescent="0.35">
      <c r="A212" s="118">
        <v>38657</v>
      </c>
      <c r="B212" s="58">
        <v>26.667573859709741</v>
      </c>
      <c r="C212" s="58">
        <v>24.747918372988448</v>
      </c>
      <c r="D212" s="58">
        <v>21.952613372494817</v>
      </c>
      <c r="E212" s="58">
        <v>30.072877524379944</v>
      </c>
      <c r="F212" s="58">
        <v>28.423071302695231</v>
      </c>
      <c r="G212" s="67"/>
      <c r="H212" s="58">
        <v>27.809962701155097</v>
      </c>
      <c r="I212" s="66">
        <v>26.740393043077628</v>
      </c>
      <c r="J212" s="66">
        <v>31.097461938493435</v>
      </c>
      <c r="K212" s="66">
        <v>27.040812992398063</v>
      </c>
      <c r="L212" s="66">
        <v>25.504752729785764</v>
      </c>
      <c r="M212" s="66">
        <v>25.337040027643404</v>
      </c>
      <c r="N212" s="66">
        <v>27.176981599861779</v>
      </c>
      <c r="O212" s="68"/>
    </row>
    <row r="213" spans="1:15" x14ac:dyDescent="0.35">
      <c r="A213" s="118">
        <v>38687</v>
      </c>
      <c r="B213" s="58">
        <v>26.048206550802142</v>
      </c>
      <c r="C213" s="58">
        <v>24.50103817016317</v>
      </c>
      <c r="D213" s="58">
        <v>21.485420403126284</v>
      </c>
      <c r="E213" s="58">
        <v>29.654054801407742</v>
      </c>
      <c r="F213" s="58">
        <v>28.911245526532294</v>
      </c>
      <c r="G213" s="67"/>
      <c r="H213" s="58">
        <v>27.338670486376369</v>
      </c>
      <c r="I213" s="66">
        <v>26.297105428340721</v>
      </c>
      <c r="J213" s="66">
        <v>29.935564291101052</v>
      </c>
      <c r="K213" s="66">
        <v>23.794510900863841</v>
      </c>
      <c r="L213" s="66">
        <v>24.049521568627448</v>
      </c>
      <c r="M213" s="66">
        <v>27.498385355820648</v>
      </c>
      <c r="N213" s="66">
        <v>26.059868624023036</v>
      </c>
      <c r="O213" s="68"/>
    </row>
    <row r="214" spans="1:15" x14ac:dyDescent="0.35">
      <c r="A214" s="118">
        <v>38718</v>
      </c>
      <c r="B214" s="58">
        <v>26.292651350234227</v>
      </c>
      <c r="C214" s="58">
        <v>26.822904915265912</v>
      </c>
      <c r="D214" s="58">
        <v>21.833834079636262</v>
      </c>
      <c r="E214" s="58">
        <v>30.061607322188543</v>
      </c>
      <c r="F214" s="58">
        <v>31.38230435381648</v>
      </c>
      <c r="G214" s="67"/>
      <c r="H214" s="58">
        <v>29.490448172131895</v>
      </c>
      <c r="I214" s="66">
        <v>26.305671695600257</v>
      </c>
      <c r="J214" s="66">
        <v>31.123524989666578</v>
      </c>
      <c r="K214" s="66">
        <v>26.83559975199779</v>
      </c>
      <c r="L214" s="66">
        <v>26.419990327914025</v>
      </c>
      <c r="M214" s="66">
        <v>28.421477817580598</v>
      </c>
      <c r="N214" s="66">
        <v>27.170548136538986</v>
      </c>
      <c r="O214" s="68"/>
    </row>
    <row r="215" spans="1:15" x14ac:dyDescent="0.35">
      <c r="A215" s="118">
        <v>38749</v>
      </c>
      <c r="B215" s="58">
        <v>25.245279070952833</v>
      </c>
      <c r="C215" s="58">
        <v>26.594018366861494</v>
      </c>
      <c r="D215" s="58">
        <v>21.127770677585975</v>
      </c>
      <c r="E215" s="58">
        <v>28.714643302674695</v>
      </c>
      <c r="F215" s="58">
        <v>29.070881745276608</v>
      </c>
      <c r="G215" s="67"/>
      <c r="H215" s="58">
        <v>27.114384007456458</v>
      </c>
      <c r="I215" s="66">
        <v>25.5684412879646</v>
      </c>
      <c r="J215" s="66">
        <v>29.646986101671878</v>
      </c>
      <c r="K215" s="66">
        <v>26.342574826695664</v>
      </c>
      <c r="L215" s="66">
        <v>23.487871768383854</v>
      </c>
      <c r="M215" s="66">
        <v>22.931420470300392</v>
      </c>
      <c r="N215" s="66">
        <v>24.489985065243982</v>
      </c>
      <c r="O215" s="68"/>
    </row>
    <row r="216" spans="1:15" x14ac:dyDescent="0.35">
      <c r="A216" s="118">
        <v>38777</v>
      </c>
      <c r="B216" s="58">
        <v>24.554552865746373</v>
      </c>
      <c r="C216" s="58">
        <v>26.898869485045338</v>
      </c>
      <c r="D216" s="58">
        <v>21.28939174786845</v>
      </c>
      <c r="E216" s="58">
        <v>27.577885723522954</v>
      </c>
      <c r="F216" s="58">
        <v>33.53470515293003</v>
      </c>
      <c r="G216" s="67"/>
      <c r="H216" s="58">
        <v>32.651269962105836</v>
      </c>
      <c r="I216" s="66">
        <v>23.709486195696304</v>
      </c>
      <c r="J216" s="66">
        <v>29.318963932873185</v>
      </c>
      <c r="K216" s="66">
        <v>28.010597374475569</v>
      </c>
      <c r="L216" s="66">
        <v>27.212532142373796</v>
      </c>
      <c r="M216" s="66">
        <v>24.172675950737567</v>
      </c>
      <c r="N216" s="66">
        <v>26.171786016375687</v>
      </c>
      <c r="O216" s="68"/>
    </row>
    <row r="217" spans="1:15" x14ac:dyDescent="0.35">
      <c r="A217" s="118">
        <v>38808</v>
      </c>
      <c r="B217" s="58">
        <v>26.012089529120196</v>
      </c>
      <c r="C217" s="58">
        <v>28.780586310753129</v>
      </c>
      <c r="D217" s="58">
        <v>23.231882503786316</v>
      </c>
      <c r="E217" s="58">
        <v>28.905604005079013</v>
      </c>
      <c r="F217" s="58">
        <v>35.890655944513291</v>
      </c>
      <c r="G217" s="67"/>
      <c r="H217" s="58">
        <v>48.245938902657308</v>
      </c>
      <c r="I217" s="66">
        <v>28.220771604938271</v>
      </c>
      <c r="J217" s="66">
        <v>34.344903775987881</v>
      </c>
      <c r="K217" s="66">
        <v>28.313152416356882</v>
      </c>
      <c r="L217" s="66">
        <v>29.668417954013488</v>
      </c>
      <c r="M217" s="66">
        <v>33.479711937216031</v>
      </c>
      <c r="N217" s="66">
        <v>29.892083608701636</v>
      </c>
      <c r="O217" s="68"/>
    </row>
    <row r="218" spans="1:15" x14ac:dyDescent="0.35">
      <c r="A218" s="118">
        <v>38838</v>
      </c>
      <c r="B218" s="58">
        <v>27.383447450335755</v>
      </c>
      <c r="C218" s="58">
        <v>32.250983981533295</v>
      </c>
      <c r="D218" s="58">
        <v>24.095455774342472</v>
      </c>
      <c r="E218" s="58">
        <v>30.880436586768635</v>
      </c>
      <c r="F218" s="58">
        <v>36.785358509373253</v>
      </c>
      <c r="G218" s="67"/>
      <c r="H218" s="58">
        <v>42.879871772323916</v>
      </c>
      <c r="I218" s="66">
        <v>29.286459118323691</v>
      </c>
      <c r="J218" s="66">
        <v>33.614370155987686</v>
      </c>
      <c r="K218" s="66">
        <v>43.125021591121062</v>
      </c>
      <c r="L218" s="66">
        <v>28.074560296586458</v>
      </c>
      <c r="M218" s="66">
        <v>27.433620061555679</v>
      </c>
      <c r="N218" s="66">
        <v>28.588185051762729</v>
      </c>
      <c r="O218" s="23"/>
    </row>
    <row r="219" spans="1:15" x14ac:dyDescent="0.35">
      <c r="A219" s="118">
        <v>38869</v>
      </c>
      <c r="B219" s="58">
        <v>26.831152105484051</v>
      </c>
      <c r="C219" s="58">
        <v>31.116646684387241</v>
      </c>
      <c r="D219" s="58">
        <v>23.876322432848347</v>
      </c>
      <c r="E219" s="58">
        <v>30.936844968289499</v>
      </c>
      <c r="F219" s="58">
        <v>33.272284170397313</v>
      </c>
      <c r="G219" s="67"/>
      <c r="H219" s="58">
        <v>34.744741238808054</v>
      </c>
      <c r="I219" s="66">
        <v>27.687193364111174</v>
      </c>
      <c r="J219" s="66">
        <v>29.040333484890873</v>
      </c>
      <c r="K219" s="66">
        <v>30.253334032829695</v>
      </c>
      <c r="L219" s="66">
        <v>24.688999748181306</v>
      </c>
      <c r="M219" s="66">
        <v>26.150153105763849</v>
      </c>
      <c r="N219" s="66">
        <v>27.829646561975384</v>
      </c>
      <c r="O219" s="23"/>
    </row>
    <row r="220" spans="1:15" x14ac:dyDescent="0.35">
      <c r="A220" s="118">
        <v>38899</v>
      </c>
      <c r="B220" s="58">
        <v>27.060200982792395</v>
      </c>
      <c r="C220" s="58">
        <v>30.502875017487408</v>
      </c>
      <c r="D220" s="58">
        <v>23.927883219082254</v>
      </c>
      <c r="E220" s="58">
        <v>30.728839061431326</v>
      </c>
      <c r="F220" s="58">
        <v>33.3922621537493</v>
      </c>
      <c r="G220" s="67"/>
      <c r="H220" s="58">
        <v>32.151828623391154</v>
      </c>
      <c r="I220" s="66">
        <v>27.628140839706518</v>
      </c>
      <c r="J220" s="66">
        <v>31.13945241675993</v>
      </c>
      <c r="K220" s="66">
        <v>31.892702620779705</v>
      </c>
      <c r="L220" s="66">
        <v>25.223645439283715</v>
      </c>
      <c r="M220" s="66">
        <v>25.528250699496361</v>
      </c>
      <c r="N220" s="66">
        <v>28.357153067291549</v>
      </c>
      <c r="O220" s="23"/>
    </row>
    <row r="221" spans="1:15" x14ac:dyDescent="0.35">
      <c r="A221" s="118">
        <v>38930</v>
      </c>
      <c r="B221" s="58">
        <v>25.577858856386413</v>
      </c>
      <c r="C221" s="58">
        <v>26.744941624693272</v>
      </c>
      <c r="D221" s="58">
        <v>20.353904849541518</v>
      </c>
      <c r="E221" s="58">
        <v>27.430443834574596</v>
      </c>
      <c r="F221" s="58">
        <v>28.421879374919282</v>
      </c>
      <c r="G221" s="67"/>
      <c r="H221" s="58">
        <v>27.641993477980108</v>
      </c>
      <c r="I221" s="66">
        <v>24.320664076513552</v>
      </c>
      <c r="J221" s="66">
        <v>30.892433407593956</v>
      </c>
      <c r="K221" s="66">
        <v>27.218487364931764</v>
      </c>
      <c r="L221" s="66">
        <v>21.793215394549915</v>
      </c>
      <c r="M221" s="66">
        <v>21.181023272633347</v>
      </c>
      <c r="N221" s="66">
        <v>24.831841243703991</v>
      </c>
      <c r="O221" s="23"/>
    </row>
    <row r="222" spans="1:15" ht="15" thickBot="1" x14ac:dyDescent="0.4">
      <c r="A222" s="119">
        <v>38961</v>
      </c>
      <c r="B222" s="60">
        <v>26.981471948025785</v>
      </c>
      <c r="C222" s="60">
        <v>26.461750856164382</v>
      </c>
      <c r="D222" s="60">
        <v>22.207843237980125</v>
      </c>
      <c r="E222" s="60">
        <v>28.910066598024294</v>
      </c>
      <c r="F222" s="60">
        <v>29.165062029948967</v>
      </c>
      <c r="G222" s="71"/>
      <c r="H222" s="60">
        <v>29.245970991136179</v>
      </c>
      <c r="I222" s="72">
        <v>25.87550461843794</v>
      </c>
      <c r="J222" s="72">
        <v>29.959873589846897</v>
      </c>
      <c r="K222" s="72">
        <v>29.344965484824069</v>
      </c>
      <c r="L222" s="72">
        <v>24.683086328229923</v>
      </c>
      <c r="M222" s="72">
        <v>21.844228847703466</v>
      </c>
      <c r="N222" s="72">
        <v>26.31897033642224</v>
      </c>
      <c r="O222" s="69"/>
    </row>
    <row r="223" spans="1:15" x14ac:dyDescent="0.35">
      <c r="A223" s="118">
        <v>38991</v>
      </c>
      <c r="B223" s="58">
        <v>27.296356149858621</v>
      </c>
      <c r="C223" s="58">
        <v>26.133058065167631</v>
      </c>
      <c r="D223" s="58">
        <v>22.664158526322872</v>
      </c>
      <c r="E223" s="58">
        <v>29.06447168738687</v>
      </c>
      <c r="F223" s="58">
        <v>28.153322253265117</v>
      </c>
      <c r="G223" s="74"/>
      <c r="H223" s="58">
        <v>29.577145667833577</v>
      </c>
      <c r="I223" s="66">
        <v>25.932229829600701</v>
      </c>
      <c r="J223" s="66">
        <v>29.852939881513397</v>
      </c>
      <c r="K223" s="66">
        <v>26.716456667115477</v>
      </c>
      <c r="L223" s="66">
        <v>25.56772764238589</v>
      </c>
      <c r="M223" s="66">
        <v>22.15055144742157</v>
      </c>
      <c r="N223" s="66">
        <v>26.095840160899421</v>
      </c>
      <c r="O223" s="23"/>
    </row>
    <row r="224" spans="1:15" x14ac:dyDescent="0.35">
      <c r="A224" s="118">
        <v>39022</v>
      </c>
      <c r="B224" s="58">
        <v>24.123256636022269</v>
      </c>
      <c r="C224" s="58">
        <v>24.639020620225303</v>
      </c>
      <c r="D224" s="58">
        <v>21.055286886572571</v>
      </c>
      <c r="E224" s="58">
        <v>26.689228343907804</v>
      </c>
      <c r="F224" s="58">
        <v>27.187555467434937</v>
      </c>
      <c r="G224" s="67"/>
      <c r="H224" s="58">
        <v>27.41423465622168</v>
      </c>
      <c r="I224" s="66">
        <v>24.207279871092119</v>
      </c>
      <c r="J224" s="66">
        <v>27.330721270879195</v>
      </c>
      <c r="K224" s="66">
        <v>24.539294013552592</v>
      </c>
      <c r="L224" s="66">
        <v>24.38756273468859</v>
      </c>
      <c r="M224" s="66">
        <v>21.371536475462904</v>
      </c>
      <c r="N224" s="66">
        <v>24.816142415512104</v>
      </c>
      <c r="O224" s="23"/>
    </row>
    <row r="225" spans="1:15" x14ac:dyDescent="0.35">
      <c r="A225" s="118">
        <v>39052</v>
      </c>
      <c r="B225" s="58">
        <v>24.079856059624106</v>
      </c>
      <c r="C225" s="58">
        <v>25.152875631885937</v>
      </c>
      <c r="D225" s="58">
        <v>21.143751134154247</v>
      </c>
      <c r="E225" s="58">
        <v>26.998812270468783</v>
      </c>
      <c r="F225" s="58">
        <v>26.707284121840573</v>
      </c>
      <c r="G225" s="67"/>
      <c r="H225" s="58">
        <v>27.644338885288398</v>
      </c>
      <c r="I225" s="66">
        <v>24.086388903290853</v>
      </c>
      <c r="J225" s="66">
        <v>27.804189403758908</v>
      </c>
      <c r="K225" s="66">
        <v>24.490200302441128</v>
      </c>
      <c r="L225" s="66">
        <v>22.525447569669474</v>
      </c>
      <c r="M225" s="66">
        <v>22.075661283214515</v>
      </c>
      <c r="N225" s="66">
        <v>25.709596403110815</v>
      </c>
      <c r="O225" s="23"/>
    </row>
    <row r="226" spans="1:15" x14ac:dyDescent="0.35">
      <c r="A226" s="118">
        <v>39083</v>
      </c>
      <c r="B226" s="58">
        <v>26.999712334032139</v>
      </c>
      <c r="C226" s="58">
        <v>28.239922886093645</v>
      </c>
      <c r="D226" s="58">
        <v>23.86649669811321</v>
      </c>
      <c r="E226" s="58">
        <v>30.078225747340625</v>
      </c>
      <c r="F226" s="58">
        <v>30.430103022361983</v>
      </c>
      <c r="G226" s="67"/>
      <c r="H226" s="58">
        <v>45.552350856044725</v>
      </c>
      <c r="I226" s="66">
        <v>27.119683003338771</v>
      </c>
      <c r="J226" s="66">
        <v>34.330030293501046</v>
      </c>
      <c r="K226" s="66">
        <v>29.36588614022828</v>
      </c>
      <c r="L226" s="66">
        <v>30.150956589797339</v>
      </c>
      <c r="M226" s="66">
        <v>27.336114493361283</v>
      </c>
      <c r="N226" s="66">
        <v>29.700042976939208</v>
      </c>
      <c r="O226" s="23"/>
    </row>
    <row r="227" spans="1:15" x14ac:dyDescent="0.35">
      <c r="A227" s="118">
        <v>39114</v>
      </c>
      <c r="B227" s="58">
        <v>27.362007163475077</v>
      </c>
      <c r="C227" s="58">
        <v>29.09648931638975</v>
      </c>
      <c r="D227" s="58">
        <v>24.290237274711348</v>
      </c>
      <c r="E227" s="58">
        <v>30.589350409900177</v>
      </c>
      <c r="F227" s="58">
        <v>31.685238858772173</v>
      </c>
      <c r="G227" s="67"/>
      <c r="H227" s="58">
        <v>45.179869279780341</v>
      </c>
      <c r="I227" s="66">
        <v>27.48764124346819</v>
      </c>
      <c r="J227" s="66">
        <v>31.29902217685159</v>
      </c>
      <c r="K227" s="66">
        <v>28.575213226321225</v>
      </c>
      <c r="L227" s="66">
        <v>31.057112813292029</v>
      </c>
      <c r="M227" s="66">
        <v>27.890734807096589</v>
      </c>
      <c r="N227" s="66">
        <v>30.128396420022526</v>
      </c>
      <c r="O227" s="23"/>
    </row>
    <row r="228" spans="1:15" x14ac:dyDescent="0.35">
      <c r="A228" s="118">
        <v>39142</v>
      </c>
      <c r="B228" s="58">
        <v>27.149893661428369</v>
      </c>
      <c r="C228" s="58">
        <v>27.433319103409573</v>
      </c>
      <c r="D228" s="58">
        <v>23.83928560404097</v>
      </c>
      <c r="E228" s="58">
        <v>30.540280732114184</v>
      </c>
      <c r="F228" s="58">
        <v>31.293871965763994</v>
      </c>
      <c r="G228" s="67"/>
      <c r="H228" s="58">
        <v>32.793540620176792</v>
      </c>
      <c r="I228" s="66">
        <v>27.341164398297558</v>
      </c>
      <c r="J228" s="66">
        <v>31.548457625929561</v>
      </c>
      <c r="K228" s="66">
        <v>29.088788877975777</v>
      </c>
      <c r="L228" s="66">
        <v>28.360567812543849</v>
      </c>
      <c r="M228" s="66">
        <v>29.038402132734671</v>
      </c>
      <c r="N228" s="66">
        <v>29.904590062438615</v>
      </c>
      <c r="O228" s="23"/>
    </row>
    <row r="229" spans="1:15" x14ac:dyDescent="0.35">
      <c r="A229" s="118">
        <v>39173</v>
      </c>
      <c r="B229" s="58">
        <v>26.567338918427314</v>
      </c>
      <c r="C229" s="58">
        <v>27.730594007975377</v>
      </c>
      <c r="D229" s="58">
        <v>23.355247498950611</v>
      </c>
      <c r="E229" s="58">
        <v>30.206408975016714</v>
      </c>
      <c r="F229" s="58">
        <v>31.431589740450537</v>
      </c>
      <c r="G229" s="67"/>
      <c r="H229" s="58">
        <v>28.600308171260664</v>
      </c>
      <c r="I229" s="66">
        <v>27.154641147023614</v>
      </c>
      <c r="J229" s="66">
        <v>31.097389429131102</v>
      </c>
      <c r="K229" s="66">
        <v>28.450893195280074</v>
      </c>
      <c r="L229" s="66">
        <v>27.279374003078214</v>
      </c>
      <c r="M229" s="66">
        <v>29.329400363788999</v>
      </c>
      <c r="N229" s="66">
        <v>29.782405414859383</v>
      </c>
      <c r="O229" s="23"/>
    </row>
    <row r="230" spans="1:15" x14ac:dyDescent="0.35">
      <c r="A230" s="118">
        <v>39203</v>
      </c>
      <c r="B230" s="58">
        <v>26.889919847865897</v>
      </c>
      <c r="C230" s="58">
        <v>28.438434621073387</v>
      </c>
      <c r="D230" s="58">
        <v>23.895725260600084</v>
      </c>
      <c r="E230" s="58">
        <v>30.51210656430483</v>
      </c>
      <c r="F230" s="58">
        <v>32.425036484011834</v>
      </c>
      <c r="G230" s="67"/>
      <c r="H230" s="58">
        <v>28.421461860825474</v>
      </c>
      <c r="I230" s="66">
        <v>27.345189181574867</v>
      </c>
      <c r="J230" s="66">
        <v>31.004316611494573</v>
      </c>
      <c r="K230" s="66">
        <v>28.234428698877775</v>
      </c>
      <c r="L230" s="66">
        <v>28.223779123820254</v>
      </c>
      <c r="M230" s="66">
        <v>28.770102324271022</v>
      </c>
      <c r="N230" s="66">
        <v>30.447210716298066</v>
      </c>
      <c r="O230" s="23"/>
    </row>
    <row r="231" spans="1:15" x14ac:dyDescent="0.35">
      <c r="A231" s="118">
        <v>39234</v>
      </c>
      <c r="B231" s="58">
        <v>26.428939230498944</v>
      </c>
      <c r="C231" s="58">
        <v>28.281782870695714</v>
      </c>
      <c r="D231" s="58">
        <v>23.713427529866475</v>
      </c>
      <c r="E231" s="58">
        <v>30.568838314983996</v>
      </c>
      <c r="F231" s="58">
        <v>32.047239300773015</v>
      </c>
      <c r="G231" s="67"/>
      <c r="H231" s="58">
        <v>27.873360347856639</v>
      </c>
      <c r="I231" s="66">
        <v>26.956568001873979</v>
      </c>
      <c r="J231" s="66">
        <v>31.232386560084329</v>
      </c>
      <c r="K231" s="66">
        <v>27.732238744436632</v>
      </c>
      <c r="L231" s="66">
        <v>28.139731524947297</v>
      </c>
      <c r="M231" s="66">
        <v>27.95803330990865</v>
      </c>
      <c r="N231" s="66">
        <v>30.460368376669006</v>
      </c>
      <c r="O231" s="23"/>
    </row>
    <row r="232" spans="1:15" x14ac:dyDescent="0.35">
      <c r="A232" s="118">
        <v>39264</v>
      </c>
      <c r="B232" s="58">
        <v>26.722687394157493</v>
      </c>
      <c r="C232" s="58">
        <v>28.614121048546426</v>
      </c>
      <c r="D232" s="58">
        <v>23.720999188540784</v>
      </c>
      <c r="E232" s="58">
        <v>29.931978753096871</v>
      </c>
      <c r="F232" s="58">
        <v>31.351748712249506</v>
      </c>
      <c r="G232" s="67"/>
      <c r="H232" s="58">
        <v>26.928734635196157</v>
      </c>
      <c r="I232" s="66">
        <v>27.715915114309905</v>
      </c>
      <c r="J232" s="66">
        <v>31.169706975021167</v>
      </c>
      <c r="K232" s="66">
        <v>27.405177203876189</v>
      </c>
      <c r="L232" s="66">
        <v>27.983976573525261</v>
      </c>
      <c r="M232" s="66">
        <v>28.134411064069997</v>
      </c>
      <c r="N232" s="66">
        <v>30.284504022015238</v>
      </c>
      <c r="O232" s="23"/>
    </row>
    <row r="233" spans="1:15" x14ac:dyDescent="0.35">
      <c r="A233" s="118">
        <v>39295</v>
      </c>
      <c r="B233" s="58">
        <v>26.395374718111345</v>
      </c>
      <c r="C233" s="58">
        <v>28.304388301620854</v>
      </c>
      <c r="D233" s="58">
        <v>23.353539887244537</v>
      </c>
      <c r="E233" s="58">
        <v>29.782405911831493</v>
      </c>
      <c r="F233" s="58">
        <v>30.568032875264269</v>
      </c>
      <c r="G233" s="67"/>
      <c r="H233" s="58">
        <v>26.682076391825227</v>
      </c>
      <c r="I233" s="66">
        <v>27.372469117531907</v>
      </c>
      <c r="J233" s="66">
        <v>31.008574471458775</v>
      </c>
      <c r="K233" s="66">
        <v>27.878165139769795</v>
      </c>
      <c r="L233" s="66">
        <v>27.698618632840027</v>
      </c>
      <c r="M233" s="66">
        <v>27.268666018322762</v>
      </c>
      <c r="N233" s="66">
        <v>30.609989217758979</v>
      </c>
      <c r="O233" s="23"/>
    </row>
    <row r="234" spans="1:15" ht="15" thickBot="1" x14ac:dyDescent="0.4">
      <c r="A234" s="119">
        <v>39326</v>
      </c>
      <c r="B234" s="60">
        <v>26.747200939823259</v>
      </c>
      <c r="C234" s="60">
        <v>28.185802900126248</v>
      </c>
      <c r="D234" s="60">
        <v>23.201897145462191</v>
      </c>
      <c r="E234" s="60">
        <v>30.154421922975018</v>
      </c>
      <c r="F234" s="60">
        <v>29.900791415345765</v>
      </c>
      <c r="G234" s="71"/>
      <c r="H234" s="60">
        <v>26.262033174358255</v>
      </c>
      <c r="I234" s="72">
        <v>27.189949665684757</v>
      </c>
      <c r="J234" s="72">
        <v>31.429865233553091</v>
      </c>
      <c r="K234" s="72">
        <v>27.146205031093654</v>
      </c>
      <c r="L234" s="72">
        <v>27.60857256277178</v>
      </c>
      <c r="M234" s="72">
        <v>27.210894066488986</v>
      </c>
      <c r="N234" s="72">
        <v>30.52812924323187</v>
      </c>
      <c r="O234" s="69"/>
    </row>
    <row r="235" spans="1:15" x14ac:dyDescent="0.35">
      <c r="A235" s="118">
        <v>39356</v>
      </c>
      <c r="B235" s="76">
        <v>26.013346310325481</v>
      </c>
      <c r="C235" s="76">
        <v>28.032842154180692</v>
      </c>
      <c r="D235" s="76">
        <v>22.78473823302469</v>
      </c>
      <c r="E235" s="76">
        <v>29.830269687616905</v>
      </c>
      <c r="F235" s="76">
        <v>29.620796296296295</v>
      </c>
      <c r="G235" s="74"/>
      <c r="H235" s="76">
        <v>26.45582570496633</v>
      </c>
      <c r="I235" s="78">
        <v>27.522968894188804</v>
      </c>
      <c r="J235" s="78">
        <v>31.871972362514025</v>
      </c>
      <c r="K235" s="78">
        <v>30.670814814814815</v>
      </c>
      <c r="L235" s="78">
        <v>28.01394977553311</v>
      </c>
      <c r="M235" s="78">
        <v>27.375983978675645</v>
      </c>
      <c r="N235" s="78">
        <v>29.712275182379351</v>
      </c>
      <c r="O235" s="77"/>
    </row>
    <row r="236" spans="1:15" x14ac:dyDescent="0.35">
      <c r="A236" s="118">
        <v>39387</v>
      </c>
      <c r="B236" s="58">
        <v>25.500665654075821</v>
      </c>
      <c r="C236" s="58">
        <v>27.867800513817528</v>
      </c>
      <c r="D236" s="58">
        <v>22.305771785168723</v>
      </c>
      <c r="E236" s="58">
        <v>29.053281774136313</v>
      </c>
      <c r="F236" s="58">
        <v>28.20540020483266</v>
      </c>
      <c r="G236" s="67"/>
      <c r="H236" s="58">
        <v>25.90617898555756</v>
      </c>
      <c r="I236" s="66">
        <v>26.885732089678907</v>
      </c>
      <c r="J236" s="66">
        <v>30.451471618525208</v>
      </c>
      <c r="K236" s="66">
        <v>32.362568022959778</v>
      </c>
      <c r="L236" s="66">
        <v>27.660713123177334</v>
      </c>
      <c r="M236" s="66">
        <v>26.54732312178864</v>
      </c>
      <c r="N236" s="66">
        <v>28.112880172892648</v>
      </c>
      <c r="O236" s="23"/>
    </row>
    <row r="237" spans="1:15" x14ac:dyDescent="0.35">
      <c r="A237" s="118">
        <v>39417</v>
      </c>
      <c r="B237" s="58">
        <v>27.709992063112367</v>
      </c>
      <c r="C237" s="58">
        <v>29.22582368053429</v>
      </c>
      <c r="D237" s="58">
        <v>23.242068424359562</v>
      </c>
      <c r="E237" s="58">
        <v>29.969704011306153</v>
      </c>
      <c r="F237" s="58">
        <v>27.940748582299957</v>
      </c>
      <c r="G237" s="67"/>
      <c r="H237" s="58">
        <v>26.418949123864557</v>
      </c>
      <c r="I237" s="66">
        <v>27.467631408620807</v>
      </c>
      <c r="J237" s="66">
        <v>35.371705284241678</v>
      </c>
      <c r="K237" s="66">
        <v>37.764146437198065</v>
      </c>
      <c r="L237" s="66">
        <v>45.337204064605018</v>
      </c>
      <c r="M237" s="66">
        <v>33.088011456419672</v>
      </c>
      <c r="N237" s="66">
        <v>30.759558820996627</v>
      </c>
      <c r="O237" s="23"/>
    </row>
    <row r="238" spans="1:15" x14ac:dyDescent="0.35">
      <c r="A238" s="118">
        <v>39448</v>
      </c>
      <c r="B238" s="58">
        <v>29.911130756914673</v>
      </c>
      <c r="C238" s="58">
        <v>30.991309980353133</v>
      </c>
      <c r="D238" s="58">
        <v>24.148185618238415</v>
      </c>
      <c r="E238" s="58">
        <v>30.372864826438501</v>
      </c>
      <c r="F238" s="58">
        <v>40.678110585387316</v>
      </c>
      <c r="G238" s="67"/>
      <c r="H238" s="58">
        <v>41.980094566493158</v>
      </c>
      <c r="I238" s="66">
        <v>33.83598086344152</v>
      </c>
      <c r="J238" s="66">
        <v>32.607600254835162</v>
      </c>
      <c r="K238" s="66">
        <v>40.400605978260877</v>
      </c>
      <c r="L238" s="66">
        <v>40.266926339559099</v>
      </c>
      <c r="M238" s="66">
        <v>33.769141044090631</v>
      </c>
      <c r="N238" s="66">
        <v>31.422983813660956</v>
      </c>
      <c r="O238" s="23"/>
    </row>
    <row r="239" spans="1:15" x14ac:dyDescent="0.35">
      <c r="A239" s="118">
        <v>39479</v>
      </c>
      <c r="B239" s="58">
        <v>28.952297634083486</v>
      </c>
      <c r="C239" s="58">
        <v>30.349767071404877</v>
      </c>
      <c r="D239" s="58">
        <v>24.591795133573175</v>
      </c>
      <c r="E239" s="58">
        <v>31.381650988863935</v>
      </c>
      <c r="F239" s="58">
        <v>34.929090409075826</v>
      </c>
      <c r="G239" s="67"/>
      <c r="H239" s="58">
        <v>40.29318484001837</v>
      </c>
      <c r="I239" s="66">
        <v>29.133764207122763</v>
      </c>
      <c r="J239" s="66">
        <v>32.797576527097362</v>
      </c>
      <c r="K239" s="66">
        <v>29.218198105905966</v>
      </c>
      <c r="L239" s="66">
        <v>33.188271185445998</v>
      </c>
      <c r="M239" s="66">
        <v>35.476739286078789</v>
      </c>
      <c r="N239" s="66">
        <v>29.792768576814147</v>
      </c>
      <c r="O239" s="23"/>
    </row>
    <row r="240" spans="1:15" x14ac:dyDescent="0.35">
      <c r="A240" s="118">
        <v>39508</v>
      </c>
      <c r="B240" s="58">
        <v>29.98274484907634</v>
      </c>
      <c r="C240" s="58">
        <v>30.189630004210041</v>
      </c>
      <c r="D240" s="58">
        <v>24.999597602827109</v>
      </c>
      <c r="E240" s="58">
        <v>31.3157837065671</v>
      </c>
      <c r="F240" s="58">
        <v>34.682419647185647</v>
      </c>
      <c r="G240" s="67"/>
      <c r="H240" s="58">
        <v>34.225879809655027</v>
      </c>
      <c r="I240" s="66">
        <v>28.685513037666414</v>
      </c>
      <c r="J240" s="66">
        <v>33.035295527467341</v>
      </c>
      <c r="K240" s="66">
        <v>29.817634581036941</v>
      </c>
      <c r="L240" s="66">
        <v>32.847706391610529</v>
      </c>
      <c r="M240" s="66">
        <v>35.740915714941821</v>
      </c>
      <c r="N240" s="66">
        <v>30.025514376339558</v>
      </c>
      <c r="O240" s="23"/>
    </row>
    <row r="241" spans="1:15" x14ac:dyDescent="0.35">
      <c r="A241" s="118">
        <v>39539</v>
      </c>
      <c r="B241" s="58">
        <v>28.216286539804472</v>
      </c>
      <c r="C241" s="58">
        <v>27.82725907821229</v>
      </c>
      <c r="D241" s="58">
        <v>23.924115869413409</v>
      </c>
      <c r="E241" s="58">
        <v>30.517564905338297</v>
      </c>
      <c r="F241" s="58">
        <v>33.030130167597761</v>
      </c>
      <c r="G241" s="67"/>
      <c r="H241" s="58">
        <v>30.850388512569829</v>
      </c>
      <c r="I241" s="66">
        <v>27.502134629112348</v>
      </c>
      <c r="J241" s="66">
        <v>31.034508379888269</v>
      </c>
      <c r="K241" s="66">
        <v>27.895891573556796</v>
      </c>
      <c r="L241" s="66">
        <v>29.034135111731842</v>
      </c>
      <c r="M241" s="66">
        <v>33.844217150837984</v>
      </c>
      <c r="N241" s="66">
        <v>29.590256302374303</v>
      </c>
      <c r="O241" s="23"/>
    </row>
    <row r="242" spans="1:15" x14ac:dyDescent="0.35">
      <c r="A242" s="118">
        <v>39569</v>
      </c>
      <c r="B242" s="58">
        <v>26.527717922819722</v>
      </c>
      <c r="C242" s="58">
        <v>27.45094575438841</v>
      </c>
      <c r="D242" s="58">
        <v>23.224833327528557</v>
      </c>
      <c r="E242" s="58">
        <v>30.446416875638519</v>
      </c>
      <c r="F242" s="58">
        <v>33.059431404987457</v>
      </c>
      <c r="G242" s="67"/>
      <c r="H242" s="58">
        <v>28.523272412231819</v>
      </c>
      <c r="I242" s="66">
        <v>27.248965666697622</v>
      </c>
      <c r="J242" s="66">
        <v>30.969085608804683</v>
      </c>
      <c r="K242" s="66">
        <v>26.725858084889012</v>
      </c>
      <c r="L242" s="66">
        <v>28.546377793257172</v>
      </c>
      <c r="M242" s="66">
        <v>35.055380858177763</v>
      </c>
      <c r="N242" s="66">
        <v>29.126579583449423</v>
      </c>
      <c r="O242" s="23"/>
    </row>
    <row r="243" spans="1:15" x14ac:dyDescent="0.35">
      <c r="A243" s="118">
        <v>39600</v>
      </c>
      <c r="B243" s="58">
        <v>26.184402147260755</v>
      </c>
      <c r="C243" s="58">
        <v>27.349287130446967</v>
      </c>
      <c r="D243" s="58">
        <v>23.353125858203729</v>
      </c>
      <c r="E243" s="58">
        <v>30.170742943658247</v>
      </c>
      <c r="F243" s="58">
        <v>32.61659314137593</v>
      </c>
      <c r="G243" s="67"/>
      <c r="H243" s="58">
        <v>29.37219481224604</v>
      </c>
      <c r="I243" s="66">
        <v>27.426306143259694</v>
      </c>
      <c r="J243" s="66">
        <v>31.117039582457615</v>
      </c>
      <c r="K243" s="66">
        <v>24.595802251179304</v>
      </c>
      <c r="L243" s="66">
        <v>31.767706795572366</v>
      </c>
      <c r="M243" s="66">
        <v>24.530126439680537</v>
      </c>
      <c r="N243" s="66">
        <v>28.864729998598847</v>
      </c>
      <c r="O243" s="23"/>
    </row>
    <row r="244" spans="1:15" x14ac:dyDescent="0.35">
      <c r="A244" s="118">
        <v>39630</v>
      </c>
      <c r="B244" s="58">
        <v>26.488556616498649</v>
      </c>
      <c r="C244" s="58">
        <v>28.253670097969614</v>
      </c>
      <c r="D244" s="58">
        <v>23.458478684509444</v>
      </c>
      <c r="E244" s="58">
        <v>29.976517464148799</v>
      </c>
      <c r="F244" s="58">
        <v>31.415578056226039</v>
      </c>
      <c r="G244" s="67"/>
      <c r="H244" s="58">
        <v>29.515615540252728</v>
      </c>
      <c r="I244" s="66">
        <v>28.48892911006989</v>
      </c>
      <c r="J244" s="66">
        <v>31.652067034644332</v>
      </c>
      <c r="K244" s="66">
        <v>23.027431397605188</v>
      </c>
      <c r="L244" s="66">
        <v>30.82264483884709</v>
      </c>
      <c r="M244" s="66">
        <v>21.243935510435893</v>
      </c>
      <c r="N244" s="66">
        <v>29.737009477495384</v>
      </c>
      <c r="O244" s="23"/>
    </row>
    <row r="245" spans="1:15" x14ac:dyDescent="0.35">
      <c r="A245" s="118">
        <v>39661</v>
      </c>
      <c r="B245" s="58">
        <v>25.194170680831576</v>
      </c>
      <c r="C245" s="58">
        <v>26.599427644255577</v>
      </c>
      <c r="D245" s="58">
        <v>21.609002556941952</v>
      </c>
      <c r="E245" s="58">
        <v>27.525599532862675</v>
      </c>
      <c r="F245" s="58">
        <v>24.409442957170434</v>
      </c>
      <c r="G245" s="67"/>
      <c r="H245" s="58">
        <v>27.77702290607828</v>
      </c>
      <c r="I245" s="66">
        <v>26.907559046735226</v>
      </c>
      <c r="J245" s="66">
        <v>29.815904693870518</v>
      </c>
      <c r="K245" s="66">
        <v>15.745706388046328</v>
      </c>
      <c r="L245" s="66">
        <v>29.138208190541846</v>
      </c>
      <c r="M245" s="66">
        <v>17.765952151592447</v>
      </c>
      <c r="N245" s="66">
        <v>27.406317126479681</v>
      </c>
      <c r="O245" s="23"/>
    </row>
    <row r="246" spans="1:15" ht="15" thickBot="1" x14ac:dyDescent="0.4">
      <c r="A246" s="119">
        <v>39692</v>
      </c>
      <c r="B246" s="60">
        <v>25.975763326374395</v>
      </c>
      <c r="C246" s="60">
        <v>27.194025939457202</v>
      </c>
      <c r="D246" s="60">
        <v>21.738971485734169</v>
      </c>
      <c r="E246" s="60">
        <v>29.219202574808623</v>
      </c>
      <c r="F246" s="60">
        <v>28.786152139874737</v>
      </c>
      <c r="G246" s="79"/>
      <c r="H246" s="60">
        <v>30.819220354906051</v>
      </c>
      <c r="I246" s="72">
        <v>27.220002389236825</v>
      </c>
      <c r="J246" s="72">
        <v>30.160273451635348</v>
      </c>
      <c r="K246" s="72">
        <v>22.210164555787518</v>
      </c>
      <c r="L246" s="72">
        <v>28.692834210160054</v>
      </c>
      <c r="M246" s="72">
        <v>20.281988587334723</v>
      </c>
      <c r="N246" s="72">
        <v>28.838433855253999</v>
      </c>
      <c r="O246" s="69"/>
    </row>
    <row r="247" spans="1:15" x14ac:dyDescent="0.35">
      <c r="A247" s="118">
        <v>39722</v>
      </c>
      <c r="B247" s="58">
        <v>25.884663458856345</v>
      </c>
      <c r="C247" s="58">
        <v>27.450465132496511</v>
      </c>
      <c r="D247" s="58">
        <v>21.98894098675035</v>
      </c>
      <c r="E247" s="58">
        <v>29.05932195877886</v>
      </c>
      <c r="F247" s="58">
        <v>28.447872890516038</v>
      </c>
      <c r="G247" s="67"/>
      <c r="H247" s="58">
        <v>26.888990794979083</v>
      </c>
      <c r="I247" s="66">
        <v>27.643773981094064</v>
      </c>
      <c r="J247" s="66">
        <v>30.106594612970714</v>
      </c>
      <c r="K247" s="66">
        <v>20.855118688981872</v>
      </c>
      <c r="L247" s="66">
        <v>31.034411185495117</v>
      </c>
      <c r="M247" s="66">
        <v>20.252522287308228</v>
      </c>
      <c r="N247" s="66">
        <v>28.895668444909344</v>
      </c>
      <c r="O247" s="81"/>
    </row>
    <row r="248" spans="1:15" x14ac:dyDescent="0.35">
      <c r="A248" s="118">
        <v>39753</v>
      </c>
      <c r="B248" s="58">
        <v>25.207118371737927</v>
      </c>
      <c r="C248" s="58">
        <v>27.012475378262074</v>
      </c>
      <c r="D248" s="58">
        <v>21.520648233620207</v>
      </c>
      <c r="E248" s="58">
        <v>28.759238902770068</v>
      </c>
      <c r="F248" s="58">
        <v>28.693867816490837</v>
      </c>
      <c r="G248" s="67"/>
      <c r="H248" s="58">
        <v>27.001653074680736</v>
      </c>
      <c r="I248" s="66">
        <v>26.802916227096052</v>
      </c>
      <c r="J248" s="66">
        <v>30.152911108411995</v>
      </c>
      <c r="K248" s="66">
        <v>22.170970294280952</v>
      </c>
      <c r="L248" s="66">
        <v>39.030151582454195</v>
      </c>
      <c r="M248" s="66">
        <v>22.148932148806217</v>
      </c>
      <c r="N248" s="66">
        <v>28.56400017351471</v>
      </c>
      <c r="O248" s="81"/>
    </row>
    <row r="249" spans="1:15" x14ac:dyDescent="0.35">
      <c r="A249" s="118">
        <v>39783</v>
      </c>
      <c r="B249" s="58">
        <v>24.067288787710275</v>
      </c>
      <c r="C249" s="58">
        <v>26.356257628944807</v>
      </c>
      <c r="D249" s="58">
        <v>21.924151796885859</v>
      </c>
      <c r="E249" s="58">
        <v>28.794561788467188</v>
      </c>
      <c r="F249" s="58">
        <v>29.446316297094395</v>
      </c>
      <c r="G249" s="67"/>
      <c r="H249" s="58">
        <v>29.507408018212146</v>
      </c>
      <c r="I249" s="66">
        <v>27.206177039405592</v>
      </c>
      <c r="J249" s="66">
        <v>30.318351348533294</v>
      </c>
      <c r="K249" s="66">
        <v>27.717683349552804</v>
      </c>
      <c r="L249" s="66">
        <v>30.231246378423464</v>
      </c>
      <c r="M249" s="66">
        <v>21.867592687334906</v>
      </c>
      <c r="N249" s="66">
        <v>28.364401623105799</v>
      </c>
      <c r="O249" s="81"/>
    </row>
    <row r="250" spans="1:15" x14ac:dyDescent="0.35">
      <c r="A250" s="118">
        <v>39814</v>
      </c>
      <c r="B250" s="58">
        <v>25.563479594313456</v>
      </c>
      <c r="C250" s="58">
        <v>26.840431726768372</v>
      </c>
      <c r="D250" s="58">
        <v>21.871230010402218</v>
      </c>
      <c r="E250" s="58">
        <v>28.788791331484042</v>
      </c>
      <c r="F250" s="58">
        <v>31.821429767683775</v>
      </c>
      <c r="G250" s="67"/>
      <c r="H250" s="58">
        <v>26.971174323855756</v>
      </c>
      <c r="I250" s="66">
        <v>28.350142818616121</v>
      </c>
      <c r="J250" s="66">
        <v>30.037235679611648</v>
      </c>
      <c r="K250" s="66">
        <v>28.661653166897825</v>
      </c>
      <c r="L250" s="66">
        <v>29.733283717059642</v>
      </c>
      <c r="M250" s="66">
        <v>19.226690651872399</v>
      </c>
      <c r="N250" s="66">
        <v>28.56859327323162</v>
      </c>
      <c r="O250" s="23"/>
    </row>
    <row r="251" spans="1:15" x14ac:dyDescent="0.35">
      <c r="A251" s="118">
        <v>39845</v>
      </c>
      <c r="B251" s="58">
        <v>27.908579805570881</v>
      </c>
      <c r="C251" s="58">
        <v>28.759837579288472</v>
      </c>
      <c r="D251" s="58">
        <v>23.794004343629339</v>
      </c>
      <c r="E251" s="58">
        <v>28.698482732732732</v>
      </c>
      <c r="F251" s="58">
        <v>34.326731125896302</v>
      </c>
      <c r="G251" s="67"/>
      <c r="H251" s="58">
        <v>38.862537472421401</v>
      </c>
      <c r="I251" s="66">
        <v>29.735325343200341</v>
      </c>
      <c r="J251" s="66">
        <v>32.39942879550469</v>
      </c>
      <c r="K251" s="66">
        <v>48.893240439419003</v>
      </c>
      <c r="L251" s="66">
        <v>37.003648510755653</v>
      </c>
      <c r="M251" s="66">
        <v>24.007454054054051</v>
      </c>
      <c r="N251" s="66">
        <v>30.916813361831217</v>
      </c>
      <c r="O251" s="23"/>
    </row>
    <row r="252" spans="1:15" x14ac:dyDescent="0.35">
      <c r="A252" s="118">
        <v>39873</v>
      </c>
      <c r="B252" s="58">
        <v>25.865952082184222</v>
      </c>
      <c r="C252" s="58">
        <v>27.754161059018198</v>
      </c>
      <c r="D252" s="58">
        <v>23.536965543987868</v>
      </c>
      <c r="E252" s="58">
        <v>29.38391953177668</v>
      </c>
      <c r="F252" s="58">
        <v>31.910761876034201</v>
      </c>
      <c r="G252" s="67"/>
      <c r="H252" s="58">
        <v>32.316355419194707</v>
      </c>
      <c r="I252" s="66">
        <v>27.750686094257524</v>
      </c>
      <c r="J252" s="66">
        <v>30.540539833838935</v>
      </c>
      <c r="K252" s="66">
        <v>33.315842158485012</v>
      </c>
      <c r="L252" s="66">
        <v>28.984819829012686</v>
      </c>
      <c r="M252" s="66">
        <v>24.038728736900168</v>
      </c>
      <c r="N252" s="66">
        <v>29.090176416850525</v>
      </c>
      <c r="O252" s="23"/>
    </row>
    <row r="253" spans="1:15" x14ac:dyDescent="0.35">
      <c r="A253" s="118">
        <v>39904</v>
      </c>
      <c r="B253" s="58">
        <v>26.759991125087353</v>
      </c>
      <c r="C253" s="58">
        <v>27.51778750873515</v>
      </c>
      <c r="D253" s="58">
        <v>23.783287683438154</v>
      </c>
      <c r="E253" s="58">
        <v>29.747590985324944</v>
      </c>
      <c r="F253" s="58">
        <v>31.799089430468204</v>
      </c>
      <c r="G253" s="67"/>
      <c r="H253" s="58">
        <v>30.395432599580715</v>
      </c>
      <c r="I253" s="66">
        <v>27.633465649506952</v>
      </c>
      <c r="J253" s="66">
        <v>30.418216020265547</v>
      </c>
      <c r="K253" s="66">
        <v>29.48601432399963</v>
      </c>
      <c r="L253" s="66">
        <v>33.086352287219299</v>
      </c>
      <c r="M253" s="66">
        <v>22.403236235098415</v>
      </c>
      <c r="N253" s="66">
        <v>29.858702488217354</v>
      </c>
      <c r="O253" s="23"/>
    </row>
    <row r="254" spans="1:15" x14ac:dyDescent="0.35">
      <c r="A254" s="118">
        <v>39934</v>
      </c>
      <c r="B254" s="58">
        <v>25.926628258748075</v>
      </c>
      <c r="C254" s="58">
        <v>27.581691952460616</v>
      </c>
      <c r="D254" s="58">
        <v>23.43563388749477</v>
      </c>
      <c r="E254" s="58">
        <v>29.146948541598892</v>
      </c>
      <c r="F254" s="58">
        <v>30.316746462428551</v>
      </c>
      <c r="G254" s="67"/>
      <c r="H254" s="58">
        <v>30.479782587480827</v>
      </c>
      <c r="I254" s="66">
        <v>27.618251568381428</v>
      </c>
      <c r="J254" s="66">
        <v>29.885935853199499</v>
      </c>
      <c r="K254" s="66">
        <v>31.590404433291511</v>
      </c>
      <c r="L254" s="66">
        <v>31.580918695106654</v>
      </c>
      <c r="M254" s="66">
        <v>24.360690980064128</v>
      </c>
      <c r="N254" s="66">
        <v>29.712030653143731</v>
      </c>
      <c r="O254" s="23"/>
    </row>
    <row r="255" spans="1:15" x14ac:dyDescent="0.35">
      <c r="A255" s="118">
        <v>39965</v>
      </c>
      <c r="B255" s="58">
        <v>25.840744130644939</v>
      </c>
      <c r="C255" s="58">
        <v>26.392797783455325</v>
      </c>
      <c r="D255" s="58">
        <v>22.390408800580033</v>
      </c>
      <c r="E255" s="58">
        <v>28.771761849959336</v>
      </c>
      <c r="F255" s="58">
        <v>30.449021785664964</v>
      </c>
      <c r="G255" s="67"/>
      <c r="H255" s="58">
        <v>26.453484532523131</v>
      </c>
      <c r="I255" s="66">
        <v>27.016413946815199</v>
      </c>
      <c r="J255" s="66">
        <v>29.873476488054138</v>
      </c>
      <c r="K255" s="66">
        <v>30.004638171523272</v>
      </c>
      <c r="L255" s="66">
        <v>27.411160585554484</v>
      </c>
      <c r="M255" s="66">
        <v>23.386258776412092</v>
      </c>
      <c r="N255" s="66">
        <v>29.148171954840489</v>
      </c>
      <c r="O255" s="80"/>
    </row>
    <row r="256" spans="1:15" x14ac:dyDescent="0.35">
      <c r="A256" s="118">
        <v>39995</v>
      </c>
      <c r="B256" s="58">
        <v>25.738204512246035</v>
      </c>
      <c r="C256" s="58">
        <v>27.106216740885053</v>
      </c>
      <c r="D256" s="58">
        <v>22.850288286251047</v>
      </c>
      <c r="E256" s="58">
        <v>29.380428850851963</v>
      </c>
      <c r="F256" s="58">
        <v>30.25945040704147</v>
      </c>
      <c r="G256" s="67"/>
      <c r="H256" s="58">
        <v>26.918817805455053</v>
      </c>
      <c r="I256" s="66">
        <v>27.238163125831093</v>
      </c>
      <c r="J256" s="66">
        <v>30.392602282215414</v>
      </c>
      <c r="K256" s="66">
        <v>28.464694637721493</v>
      </c>
      <c r="L256" s="66">
        <v>33.258425160033404</v>
      </c>
      <c r="M256" s="66">
        <v>24.118091399944337</v>
      </c>
      <c r="N256" s="66">
        <v>29.720925045226831</v>
      </c>
      <c r="O256" s="80"/>
    </row>
    <row r="257" spans="1:15" x14ac:dyDescent="0.35">
      <c r="A257" s="118">
        <v>40026</v>
      </c>
      <c r="B257" s="58">
        <v>26.389782061230246</v>
      </c>
      <c r="C257" s="58">
        <v>27.468724975310387</v>
      </c>
      <c r="D257" s="58">
        <v>22.742975010581262</v>
      </c>
      <c r="E257" s="58">
        <v>29.832488799535991</v>
      </c>
      <c r="F257" s="58">
        <v>30.708553558831831</v>
      </c>
      <c r="G257" s="67"/>
      <c r="H257" s="58">
        <v>30.052588265378105</v>
      </c>
      <c r="I257" s="66">
        <v>28.764545303486322</v>
      </c>
      <c r="J257" s="66">
        <v>31.080533877680587</v>
      </c>
      <c r="K257" s="66">
        <v>28.454339493980438</v>
      </c>
      <c r="L257" s="66">
        <v>29.285228865688488</v>
      </c>
      <c r="M257" s="66">
        <v>22.939964588036119</v>
      </c>
      <c r="N257" s="66">
        <v>29.617611279627532</v>
      </c>
      <c r="O257" s="80"/>
    </row>
    <row r="258" spans="1:15" ht="15" thickBot="1" x14ac:dyDescent="0.4">
      <c r="A258" s="119">
        <v>40057</v>
      </c>
      <c r="B258" s="83">
        <v>26.679311175885115</v>
      </c>
      <c r="C258" s="83">
        <v>27.794909195933457</v>
      </c>
      <c r="D258" s="83">
        <v>22.859874413479318</v>
      </c>
      <c r="E258" s="83">
        <v>30.295626909648167</v>
      </c>
      <c r="F258" s="83">
        <v>32.184742055310679</v>
      </c>
      <c r="G258" s="84"/>
      <c r="H258" s="83">
        <v>30.138975135077487</v>
      </c>
      <c r="I258" s="85">
        <v>28.428794611119002</v>
      </c>
      <c r="J258" s="85">
        <v>31.530701301009525</v>
      </c>
      <c r="K258" s="85">
        <v>28.405951893454667</v>
      </c>
      <c r="L258" s="85">
        <v>27.789467254372244</v>
      </c>
      <c r="M258" s="85">
        <v>23.398828181430396</v>
      </c>
      <c r="N258" s="85">
        <v>30.805109092847996</v>
      </c>
      <c r="O258" s="62"/>
    </row>
    <row r="259" spans="1:15" x14ac:dyDescent="0.35">
      <c r="A259" s="118">
        <v>40087</v>
      </c>
      <c r="B259" s="58">
        <v>26.183792959932276</v>
      </c>
      <c r="C259" s="58">
        <v>27.576719261427758</v>
      </c>
      <c r="D259" s="58">
        <v>22.477989030756206</v>
      </c>
      <c r="E259" s="58">
        <v>29.764492397165782</v>
      </c>
      <c r="F259" s="58">
        <v>35.467301777652366</v>
      </c>
      <c r="G259" s="67"/>
      <c r="H259" s="58">
        <v>30.283576044018059</v>
      </c>
      <c r="I259" s="66">
        <v>29.689385259907201</v>
      </c>
      <c r="J259" s="66">
        <v>32.824441609057558</v>
      </c>
      <c r="K259" s="66">
        <v>30.398236644093306</v>
      </c>
      <c r="L259" s="66">
        <v>34.942529542889396</v>
      </c>
      <c r="M259" s="66">
        <v>24.954258013544017</v>
      </c>
      <c r="N259" s="66">
        <v>30.248577895739281</v>
      </c>
      <c r="O259" s="81"/>
    </row>
    <row r="260" spans="1:15" x14ac:dyDescent="0.35">
      <c r="A260" s="118">
        <v>40118</v>
      </c>
      <c r="B260" s="58">
        <v>26.197031870686015</v>
      </c>
      <c r="C260" s="58">
        <v>27.623742129173127</v>
      </c>
      <c r="D260" s="58">
        <v>22.533910850119732</v>
      </c>
      <c r="E260" s="58">
        <v>29.259894030458131</v>
      </c>
      <c r="F260" s="58">
        <v>36.007287293985065</v>
      </c>
      <c r="G260" s="67"/>
      <c r="H260" s="58">
        <v>27.566833462459503</v>
      </c>
      <c r="I260" s="66">
        <v>28.16210033494545</v>
      </c>
      <c r="J260" s="66">
        <v>30.595971967882797</v>
      </c>
      <c r="K260" s="66">
        <v>24.56032530403343</v>
      </c>
      <c r="L260" s="66">
        <v>29.960192336948872</v>
      </c>
      <c r="M260" s="66">
        <v>23.004954866882663</v>
      </c>
      <c r="N260" s="66">
        <v>29.504723323707566</v>
      </c>
      <c r="O260" s="81"/>
    </row>
    <row r="261" spans="1:15" x14ac:dyDescent="0.35">
      <c r="A261" s="118">
        <v>40148</v>
      </c>
      <c r="B261" s="58">
        <v>28.82941438792859</v>
      </c>
      <c r="C261" s="58">
        <v>28.685814164777554</v>
      </c>
      <c r="D261" s="58">
        <v>23.881733972088409</v>
      </c>
      <c r="E261" s="58">
        <v>31.054938903057209</v>
      </c>
      <c r="F261" s="58">
        <v>35.862812730235191</v>
      </c>
      <c r="G261" s="67"/>
      <c r="H261" s="58">
        <v>42.421225719042226</v>
      </c>
      <c r="I261" s="66">
        <v>30.236406473347813</v>
      </c>
      <c r="J261" s="66">
        <v>32.104101994190991</v>
      </c>
      <c r="K261" s="66">
        <v>32.344774629262297</v>
      </c>
      <c r="L261" s="66">
        <v>39.342557438367812</v>
      </c>
      <c r="M261" s="66">
        <v>25.905593340889766</v>
      </c>
      <c r="N261" s="66">
        <v>30.446172145083594</v>
      </c>
      <c r="O261" s="81"/>
    </row>
    <row r="262" spans="1:15" x14ac:dyDescent="0.35">
      <c r="A262" s="118">
        <v>40179</v>
      </c>
      <c r="B262" s="58">
        <v>25.856202493642272</v>
      </c>
      <c r="C262" s="58">
        <v>28.158328782848262</v>
      </c>
      <c r="D262" s="58">
        <v>23.895539912404629</v>
      </c>
      <c r="E262" s="58">
        <v>30.220573757495842</v>
      </c>
      <c r="F262" s="58">
        <v>33.464534614297818</v>
      </c>
      <c r="G262" s="67"/>
      <c r="H262" s="58">
        <v>33.482559091551288</v>
      </c>
      <c r="I262" s="66">
        <v>28.147091300116166</v>
      </c>
      <c r="J262" s="66">
        <v>30.980160832862392</v>
      </c>
      <c r="K262" s="66">
        <v>33.309657624564373</v>
      </c>
      <c r="L262" s="66">
        <v>29.489536564001128</v>
      </c>
      <c r="M262" s="66">
        <v>23.766564764057641</v>
      </c>
      <c r="N262" s="66">
        <v>29.371976917914665</v>
      </c>
      <c r="O262" s="80"/>
    </row>
    <row r="263" spans="1:15" x14ac:dyDescent="0.35">
      <c r="A263" s="118">
        <v>40210</v>
      </c>
      <c r="B263" s="58">
        <v>26.673630698659139</v>
      </c>
      <c r="C263" s="58">
        <v>30.844175317572336</v>
      </c>
      <c r="D263" s="58">
        <v>24.856957868736764</v>
      </c>
      <c r="E263" s="58">
        <v>31.968035999372702</v>
      </c>
      <c r="F263" s="58">
        <v>38.253919618913194</v>
      </c>
      <c r="G263" s="67"/>
      <c r="H263" s="58">
        <v>39.660440543401549</v>
      </c>
      <c r="I263" s="66">
        <v>32.474001168352544</v>
      </c>
      <c r="J263" s="66">
        <v>34.164405010585746</v>
      </c>
      <c r="K263" s="66">
        <v>46.663700964478949</v>
      </c>
      <c r="L263" s="66">
        <v>35.703374989414257</v>
      </c>
      <c r="M263" s="66">
        <v>25.089844121383202</v>
      </c>
      <c r="N263" s="66">
        <v>28.932467290049402</v>
      </c>
      <c r="O263" s="80"/>
    </row>
    <row r="264" spans="1:15" x14ac:dyDescent="0.35">
      <c r="A264" s="118">
        <v>40238</v>
      </c>
      <c r="B264" s="58">
        <v>28.183309470439895</v>
      </c>
      <c r="C264" s="58">
        <v>29.493993835808354</v>
      </c>
      <c r="D264" s="58">
        <v>24.360480071448578</v>
      </c>
      <c r="E264" s="58">
        <v>31.009445051523926</v>
      </c>
      <c r="F264" s="58">
        <v>35.756483451246844</v>
      </c>
      <c r="G264" s="67"/>
      <c r="H264" s="58">
        <v>40.01124292518913</v>
      </c>
      <c r="I264" s="66">
        <v>29.687727989477292</v>
      </c>
      <c r="J264" s="66">
        <v>33.638536669935554</v>
      </c>
      <c r="K264" s="66">
        <v>46.019208228261881</v>
      </c>
      <c r="L264" s="66">
        <v>35.39604525077052</v>
      </c>
      <c r="M264" s="66">
        <v>25.077384701597083</v>
      </c>
      <c r="N264" s="66">
        <v>27.76925236410759</v>
      </c>
      <c r="O264" s="82"/>
    </row>
    <row r="265" spans="1:15" x14ac:dyDescent="0.35">
      <c r="A265" s="118">
        <v>40269</v>
      </c>
      <c r="B265" s="58">
        <v>27.470408236172329</v>
      </c>
      <c r="C265" s="58">
        <v>29.314621765249537</v>
      </c>
      <c r="D265" s="58">
        <v>24.672847166927347</v>
      </c>
      <c r="E265" s="58">
        <v>31.064665071014424</v>
      </c>
      <c r="F265" s="58">
        <v>33.756858506327319</v>
      </c>
      <c r="G265" s="67"/>
      <c r="H265" s="58">
        <v>30.946196466657184</v>
      </c>
      <c r="I265" s="66">
        <v>28.326674226266643</v>
      </c>
      <c r="J265" s="66">
        <v>31.871326532063129</v>
      </c>
      <c r="K265" s="66">
        <v>30.760095502156503</v>
      </c>
      <c r="L265" s="66">
        <v>37.586574491682065</v>
      </c>
      <c r="M265" s="66">
        <v>25.967424598322197</v>
      </c>
      <c r="N265" s="66">
        <v>29.024384881984925</v>
      </c>
      <c r="O265" s="81"/>
    </row>
    <row r="266" spans="1:15" x14ac:dyDescent="0.35">
      <c r="A266" s="118">
        <v>40299</v>
      </c>
      <c r="B266" s="58">
        <v>26.756998431994358</v>
      </c>
      <c r="C266" s="58">
        <v>27.946760429880197</v>
      </c>
      <c r="D266" s="58">
        <v>23.278617847075409</v>
      </c>
      <c r="E266" s="58">
        <v>30.292541758671991</v>
      </c>
      <c r="F266" s="58">
        <v>33.356131730091612</v>
      </c>
      <c r="G266" s="67"/>
      <c r="H266" s="58">
        <v>28.333358157152926</v>
      </c>
      <c r="I266" s="66">
        <v>27.645518330592747</v>
      </c>
      <c r="J266" s="66">
        <v>31.308262632135303</v>
      </c>
      <c r="K266" s="66">
        <v>28.656022410147994</v>
      </c>
      <c r="L266" s="66">
        <v>43.522153516560955</v>
      </c>
      <c r="M266" s="66">
        <v>27.115225680056376</v>
      </c>
      <c r="N266" s="66">
        <v>28.500184566596197</v>
      </c>
      <c r="O266" s="81"/>
    </row>
    <row r="267" spans="1:15" x14ac:dyDescent="0.35">
      <c r="A267" s="118">
        <v>40330</v>
      </c>
      <c r="B267" s="58">
        <v>27.010830053191487</v>
      </c>
      <c r="C267" s="58">
        <v>28.048337712765953</v>
      </c>
      <c r="D267" s="58">
        <v>23.26896618794326</v>
      </c>
      <c r="E267" s="58">
        <v>30.611388234830574</v>
      </c>
      <c r="F267" s="58">
        <v>33.273073475177299</v>
      </c>
      <c r="G267" s="67"/>
      <c r="H267" s="58">
        <v>30.344527145390071</v>
      </c>
      <c r="I267" s="66">
        <v>27.874191024428693</v>
      </c>
      <c r="J267" s="66">
        <v>32.51605480496454</v>
      </c>
      <c r="K267" s="66">
        <v>27.359011725768323</v>
      </c>
      <c r="L267" s="66">
        <v>41.634259234042553</v>
      </c>
      <c r="M267" s="66">
        <v>26.576725588652483</v>
      </c>
      <c r="N267" s="66">
        <v>28.523862056737588</v>
      </c>
      <c r="O267" s="81"/>
    </row>
    <row r="268" spans="1:15" x14ac:dyDescent="0.35">
      <c r="A268" s="118">
        <v>40360</v>
      </c>
      <c r="B268" s="58">
        <v>26.065071790658646</v>
      </c>
      <c r="C268" s="58">
        <v>27.497265627185008</v>
      </c>
      <c r="D268" s="58">
        <v>23.002456596979442</v>
      </c>
      <c r="E268" s="58">
        <v>30.457463268540526</v>
      </c>
      <c r="F268" s="58">
        <v>32.134798472241641</v>
      </c>
      <c r="G268" s="67"/>
      <c r="H268" s="58">
        <v>29.824456719339953</v>
      </c>
      <c r="I268" s="66">
        <v>27.41356956292049</v>
      </c>
      <c r="J268" s="66">
        <v>30.892903055516708</v>
      </c>
      <c r="K268" s="66">
        <v>27.213139514287047</v>
      </c>
      <c r="L268" s="66">
        <v>41.862417591945174</v>
      </c>
      <c r="M268" s="66">
        <v>25.94307206924962</v>
      </c>
      <c r="N268" s="66">
        <v>27.461584673472242</v>
      </c>
      <c r="O268" s="81"/>
    </row>
    <row r="269" spans="1:15" x14ac:dyDescent="0.35">
      <c r="A269" s="118">
        <v>40391</v>
      </c>
      <c r="B269" s="58">
        <v>25.081451839000692</v>
      </c>
      <c r="C269" s="58">
        <v>27.408907876474672</v>
      </c>
      <c r="D269" s="58">
        <v>22.091959489937544</v>
      </c>
      <c r="E269" s="58">
        <v>29.489780800370106</v>
      </c>
      <c r="F269" s="58">
        <v>31.231601943095079</v>
      </c>
      <c r="G269" s="67"/>
      <c r="H269" s="58">
        <v>26.762610912560717</v>
      </c>
      <c r="I269" s="66">
        <v>26.975857213354924</v>
      </c>
      <c r="J269" s="66">
        <v>30.36790523941707</v>
      </c>
      <c r="K269" s="66">
        <v>26.924267129308351</v>
      </c>
      <c r="L269" s="66">
        <v>37.571411186675924</v>
      </c>
      <c r="M269" s="66">
        <v>23.571261429562799</v>
      </c>
      <c r="N269" s="66">
        <v>26.943613410825812</v>
      </c>
      <c r="O269" s="81"/>
    </row>
    <row r="270" spans="1:15" ht="15" thickBot="1" x14ac:dyDescent="0.4">
      <c r="A270" s="119">
        <v>40422</v>
      </c>
      <c r="B270" s="60">
        <v>26.003303142134119</v>
      </c>
      <c r="C270" s="60">
        <v>27.662363401518348</v>
      </c>
      <c r="D270" s="60">
        <v>22.83763680936314</v>
      </c>
      <c r="E270" s="60">
        <v>29.910868894199982</v>
      </c>
      <c r="F270" s="60">
        <v>32.032716733445795</v>
      </c>
      <c r="G270" s="71"/>
      <c r="H270" s="60">
        <v>28.486413151975256</v>
      </c>
      <c r="I270" s="72">
        <v>27.5929452645391</v>
      </c>
      <c r="J270" s="72">
        <v>31.614215046393927</v>
      </c>
      <c r="K270" s="72">
        <v>28.267862270959274</v>
      </c>
      <c r="L270" s="72">
        <v>28.930024940250245</v>
      </c>
      <c r="M270" s="72">
        <v>23.055058400112468</v>
      </c>
      <c r="N270" s="72">
        <v>27.365426490229158</v>
      </c>
      <c r="O270" s="69"/>
    </row>
    <row r="271" spans="1:15" x14ac:dyDescent="0.35">
      <c r="A271" s="118">
        <v>40452</v>
      </c>
      <c r="B271" s="58">
        <v>25.838505575817084</v>
      </c>
      <c r="C271" s="58">
        <v>28.079423902370603</v>
      </c>
      <c r="D271" s="58">
        <v>23.93859655982606</v>
      </c>
      <c r="E271" s="58">
        <v>29.569834533439323</v>
      </c>
      <c r="F271" s="58">
        <v>31.455714335811471</v>
      </c>
      <c r="G271" s="67"/>
      <c r="H271" s="58">
        <v>30.893993459812037</v>
      </c>
      <c r="I271" s="66">
        <v>28.171331821511515</v>
      </c>
      <c r="J271" s="66">
        <v>31.029204148548182</v>
      </c>
      <c r="K271" s="66">
        <v>30.370052040959461</v>
      </c>
      <c r="L271" s="66">
        <v>36.942882227521395</v>
      </c>
      <c r="M271" s="66">
        <v>24.338064609342126</v>
      </c>
      <c r="N271" s="66">
        <v>27.455068663206625</v>
      </c>
      <c r="O271" s="81"/>
    </row>
    <row r="272" spans="1:15" x14ac:dyDescent="0.35">
      <c r="A272" s="118">
        <v>40483</v>
      </c>
      <c r="B272" s="58">
        <v>25.809657653061226</v>
      </c>
      <c r="C272" s="58">
        <v>28.308531773399018</v>
      </c>
      <c r="D272" s="58">
        <v>24.521814743138634</v>
      </c>
      <c r="E272" s="58">
        <v>30.110558628508873</v>
      </c>
      <c r="F272" s="58">
        <v>31.120638019000701</v>
      </c>
      <c r="G272" s="67"/>
      <c r="H272" s="58">
        <v>28.601812807881771</v>
      </c>
      <c r="I272" s="66">
        <v>28.956498866213149</v>
      </c>
      <c r="J272" s="66">
        <v>31.186476618578467</v>
      </c>
      <c r="K272" s="66">
        <v>34.028509500351866</v>
      </c>
      <c r="L272" s="66">
        <v>39.073741337086553</v>
      </c>
      <c r="M272" s="66">
        <v>20.059553779028853</v>
      </c>
      <c r="N272" s="66">
        <v>28.28159780084448</v>
      </c>
      <c r="O272" s="81"/>
    </row>
    <row r="273" spans="1:15" x14ac:dyDescent="0.35">
      <c r="A273" s="118">
        <v>40513</v>
      </c>
      <c r="B273" s="58">
        <v>25.198127765252924</v>
      </c>
      <c r="C273" s="58">
        <v>27.853615277582072</v>
      </c>
      <c r="D273" s="58">
        <v>23.962761818373956</v>
      </c>
      <c r="E273" s="58">
        <v>30.178872927528062</v>
      </c>
      <c r="F273" s="58">
        <v>31.520764636466112</v>
      </c>
      <c r="G273" s="67"/>
      <c r="H273" s="58">
        <v>27.403211039876002</v>
      </c>
      <c r="I273" s="66">
        <v>27.661314084198331</v>
      </c>
      <c r="J273" s="66">
        <v>31.168230942651824</v>
      </c>
      <c r="K273" s="66">
        <v>34.598360480954398</v>
      </c>
      <c r="L273" s="66">
        <v>38.365111427363679</v>
      </c>
      <c r="M273" s="66">
        <v>23.92501175144427</v>
      </c>
      <c r="N273" s="66">
        <v>28.055348439481467</v>
      </c>
      <c r="O273" s="81"/>
    </row>
    <row r="274" spans="1:15" x14ac:dyDescent="0.35">
      <c r="A274" s="118">
        <v>40544</v>
      </c>
      <c r="B274" s="58">
        <v>29.277088656853074</v>
      </c>
      <c r="C274" s="58">
        <v>30.05883402591914</v>
      </c>
      <c r="D274" s="58">
        <v>25.070839308353289</v>
      </c>
      <c r="E274" s="58">
        <v>31.71729890914758</v>
      </c>
      <c r="F274" s="58">
        <v>37.061595224679536</v>
      </c>
      <c r="G274" s="67"/>
      <c r="H274" s="58">
        <v>34.574586649528101</v>
      </c>
      <c r="I274" s="66">
        <v>32.446779366420941</v>
      </c>
      <c r="J274" s="66">
        <v>32.926232110156363</v>
      </c>
      <c r="K274" s="66">
        <v>51.730053669530911</v>
      </c>
      <c r="L274" s="66">
        <v>36.525655359909841</v>
      </c>
      <c r="M274" s="66">
        <v>29.829202563741369</v>
      </c>
      <c r="N274" s="66">
        <v>29.819218587124951</v>
      </c>
      <c r="O274" s="81"/>
    </row>
    <row r="275" spans="1:15" x14ac:dyDescent="0.35">
      <c r="A275" s="118">
        <v>40575</v>
      </c>
      <c r="B275" s="58">
        <v>27.03563534046145</v>
      </c>
      <c r="C275" s="58">
        <v>28.608114888154191</v>
      </c>
      <c r="D275" s="58">
        <v>24.272578379994375</v>
      </c>
      <c r="E275" s="58">
        <v>30.233110134121173</v>
      </c>
      <c r="F275" s="58">
        <v>36.717801737478901</v>
      </c>
      <c r="G275" s="67"/>
      <c r="H275" s="58">
        <v>28.535324141812048</v>
      </c>
      <c r="I275" s="66">
        <v>27.948123296129559</v>
      </c>
      <c r="J275" s="66">
        <v>31.444959728474959</v>
      </c>
      <c r="K275" s="66">
        <v>43.431169292815611</v>
      </c>
      <c r="L275" s="66">
        <v>38.771497917839056</v>
      </c>
      <c r="M275" s="66">
        <v>29.956837675858186</v>
      </c>
      <c r="N275" s="66">
        <v>30.507654227630837</v>
      </c>
      <c r="O275" s="81"/>
    </row>
    <row r="276" spans="1:15" x14ac:dyDescent="0.35">
      <c r="A276" s="118">
        <v>40603</v>
      </c>
      <c r="B276" s="58">
        <v>27.59826201289696</v>
      </c>
      <c r="C276" s="58">
        <v>28.894292205965112</v>
      </c>
      <c r="D276" s="58">
        <v>24.275108480099846</v>
      </c>
      <c r="E276" s="58">
        <v>30.52515946038892</v>
      </c>
      <c r="F276" s="58">
        <v>35.101649788517534</v>
      </c>
      <c r="G276" s="67"/>
      <c r="H276" s="58">
        <v>33.325553531232416</v>
      </c>
      <c r="I276" s="66">
        <v>28.288578930337906</v>
      </c>
      <c r="J276" s="66">
        <v>32.117027715250423</v>
      </c>
      <c r="K276" s="66">
        <v>39.677006101788933</v>
      </c>
      <c r="L276" s="66">
        <v>37.324358868395507</v>
      </c>
      <c r="M276" s="66">
        <v>27.819412425461103</v>
      </c>
      <c r="N276" s="66">
        <v>29.015590434752461</v>
      </c>
      <c r="O276" s="81"/>
    </row>
    <row r="277" spans="1:15" x14ac:dyDescent="0.35">
      <c r="A277" s="118">
        <v>40634</v>
      </c>
      <c r="B277" s="58">
        <v>28.495657388873546</v>
      </c>
      <c r="C277" s="58">
        <v>29.191309152401988</v>
      </c>
      <c r="D277" s="58">
        <v>23.8961370789619</v>
      </c>
      <c r="E277" s="58">
        <v>29.992738250812934</v>
      </c>
      <c r="F277" s="58">
        <v>34.188065209138593</v>
      </c>
      <c r="G277" s="67"/>
      <c r="H277" s="58">
        <v>32.256677612506905</v>
      </c>
      <c r="I277" s="66">
        <v>28.527292748021345</v>
      </c>
      <c r="J277" s="66">
        <v>31.061056719353946</v>
      </c>
      <c r="K277" s="66">
        <v>39.762085035891765</v>
      </c>
      <c r="L277" s="66">
        <v>35.712237244616233</v>
      </c>
      <c r="M277" s="66">
        <v>28.306040916620653</v>
      </c>
      <c r="N277" s="66">
        <v>29.165870409994479</v>
      </c>
      <c r="O277" s="81"/>
    </row>
    <row r="278" spans="1:15" x14ac:dyDescent="0.35">
      <c r="A278" s="118">
        <v>40664</v>
      </c>
      <c r="B278" s="58">
        <v>26.999738534046145</v>
      </c>
      <c r="C278" s="58">
        <v>30.290279122115926</v>
      </c>
      <c r="D278" s="58">
        <v>23.852785171637588</v>
      </c>
      <c r="E278" s="58">
        <v>30.004434182142191</v>
      </c>
      <c r="F278" s="58">
        <v>34.507156742402927</v>
      </c>
      <c r="G278" s="67"/>
      <c r="H278" s="58">
        <v>30.66420418894203</v>
      </c>
      <c r="I278" s="66">
        <v>28.81097616144563</v>
      </c>
      <c r="J278" s="66">
        <v>31.772019520258858</v>
      </c>
      <c r="K278" s="66">
        <v>30.269006940536485</v>
      </c>
      <c r="L278" s="66">
        <v>34.664903263927968</v>
      </c>
      <c r="M278" s="66">
        <v>28.74751415306697</v>
      </c>
      <c r="N278" s="66">
        <v>29.11565584552617</v>
      </c>
      <c r="O278" s="81"/>
    </row>
    <row r="279" spans="1:15" x14ac:dyDescent="0.35">
      <c r="A279" s="118">
        <v>40695</v>
      </c>
      <c r="B279" s="58">
        <v>26.049673303421201</v>
      </c>
      <c r="C279" s="58">
        <v>28.869021610347723</v>
      </c>
      <c r="D279" s="58">
        <v>23.821622931856421</v>
      </c>
      <c r="E279" s="58">
        <v>30.095454134729227</v>
      </c>
      <c r="F279" s="58">
        <v>33.430462825995505</v>
      </c>
      <c r="G279" s="67"/>
      <c r="H279" s="58">
        <v>30.575338509534497</v>
      </c>
      <c r="I279" s="66">
        <v>28.272202685860286</v>
      </c>
      <c r="J279" s="66">
        <v>31.338560046270331</v>
      </c>
      <c r="K279" s="66">
        <v>30.43554706487194</v>
      </c>
      <c r="L279" s="66">
        <v>36.198929697139647</v>
      </c>
      <c r="M279" s="66">
        <v>27.886175126191809</v>
      </c>
      <c r="N279" s="66">
        <v>28.522193073471673</v>
      </c>
      <c r="O279" s="81"/>
    </row>
    <row r="280" spans="1:15" x14ac:dyDescent="0.35">
      <c r="A280" s="118">
        <v>40725</v>
      </c>
      <c r="B280" s="58">
        <v>26.390963167297183</v>
      </c>
      <c r="C280" s="58">
        <v>26.927227353930224</v>
      </c>
      <c r="D280" s="58">
        <v>22.948941554574752</v>
      </c>
      <c r="E280" s="58">
        <v>29.818971292014997</v>
      </c>
      <c r="F280" s="58">
        <v>32.803292524870393</v>
      </c>
      <c r="G280" s="67"/>
      <c r="H280" s="58">
        <v>33.266068656298167</v>
      </c>
      <c r="I280" s="66">
        <v>28.222537083741997</v>
      </c>
      <c r="J280" s="66">
        <v>30.715834524309933</v>
      </c>
      <c r="K280" s="66">
        <v>29.468523749474571</v>
      </c>
      <c r="L280" s="66">
        <v>34.840699201345096</v>
      </c>
      <c r="M280" s="66">
        <v>25.356370519826253</v>
      </c>
      <c r="N280" s="66">
        <v>28.407912358133672</v>
      </c>
      <c r="O280" s="81"/>
    </row>
    <row r="281" spans="1:15" x14ac:dyDescent="0.35">
      <c r="A281" s="118">
        <v>40756</v>
      </c>
      <c r="B281" s="58">
        <v>26.930031645125034</v>
      </c>
      <c r="C281" s="58">
        <v>27.258623419499859</v>
      </c>
      <c r="D281" s="58">
        <v>22.607556213121665</v>
      </c>
      <c r="E281" s="58">
        <v>29.683785606131558</v>
      </c>
      <c r="F281" s="58">
        <v>32.400586822141051</v>
      </c>
      <c r="G281" s="67"/>
      <c r="H281" s="58">
        <v>34.729605489603827</v>
      </c>
      <c r="I281" s="66">
        <v>28.154782804158472</v>
      </c>
      <c r="J281" s="66">
        <v>31.554214069963471</v>
      </c>
      <c r="K281" s="66">
        <v>28.606181605319847</v>
      </c>
      <c r="L281" s="66">
        <v>37.390402275920202</v>
      </c>
      <c r="M281" s="66">
        <v>24.342321635290816</v>
      </c>
      <c r="N281" s="66">
        <v>28.202577971340261</v>
      </c>
      <c r="O281" s="81"/>
    </row>
    <row r="282" spans="1:15" ht="15" thickBot="1" x14ac:dyDescent="0.4">
      <c r="A282" s="119">
        <v>40787</v>
      </c>
      <c r="B282" s="60">
        <v>27.002739768244574</v>
      </c>
      <c r="C282" s="60">
        <v>27.078628680614255</v>
      </c>
      <c r="D282" s="60">
        <v>22.94867418639053</v>
      </c>
      <c r="E282" s="60">
        <v>30.168439090823696</v>
      </c>
      <c r="F282" s="60">
        <v>31.637954652719074</v>
      </c>
      <c r="G282" s="71"/>
      <c r="H282" s="60">
        <v>37.678112954353338</v>
      </c>
      <c r="I282" s="72">
        <v>28.100355280047591</v>
      </c>
      <c r="J282" s="72">
        <v>31.110726419413915</v>
      </c>
      <c r="K282" s="72">
        <v>30.152462477693245</v>
      </c>
      <c r="L282" s="72">
        <v>26.354288982812061</v>
      </c>
      <c r="M282" s="72">
        <v>22.332975457875456</v>
      </c>
      <c r="N282" s="72">
        <v>28.105126074246265</v>
      </c>
      <c r="O282" s="69"/>
    </row>
    <row r="283" spans="1:15" x14ac:dyDescent="0.35">
      <c r="A283" s="118">
        <v>40817</v>
      </c>
      <c r="B283" s="58">
        <v>27.225259799744354</v>
      </c>
      <c r="C283" s="58">
        <v>28.009418282204237</v>
      </c>
      <c r="D283" s="58">
        <v>22.911884835250675</v>
      </c>
      <c r="E283" s="58">
        <v>31.15041424040146</v>
      </c>
      <c r="F283" s="58">
        <v>31.628224115892625</v>
      </c>
      <c r="G283" s="67"/>
      <c r="H283" s="58">
        <v>34.194103412157361</v>
      </c>
      <c r="I283" s="66">
        <v>28.39987574366015</v>
      </c>
      <c r="J283" s="66">
        <v>32.258369443260904</v>
      </c>
      <c r="K283" s="66">
        <v>34.750094257444488</v>
      </c>
      <c r="L283" s="66">
        <v>30.460542678596788</v>
      </c>
      <c r="M283" s="66">
        <v>24.596365970742792</v>
      </c>
      <c r="N283" s="66">
        <v>28.927457481181651</v>
      </c>
      <c r="O283" s="81"/>
    </row>
    <row r="284" spans="1:15" x14ac:dyDescent="0.35">
      <c r="A284" s="118">
        <v>40848</v>
      </c>
      <c r="B284" s="58">
        <v>26.85858308023732</v>
      </c>
      <c r="C284" s="58">
        <v>27.908861173894618</v>
      </c>
      <c r="D284" s="58">
        <v>22.742574268964539</v>
      </c>
      <c r="E284" s="58">
        <v>30.860675487749372</v>
      </c>
      <c r="F284" s="58">
        <v>31.045678397372512</v>
      </c>
      <c r="G284" s="67"/>
      <c r="H284" s="58">
        <v>31.724504467438909</v>
      </c>
      <c r="I284" s="66">
        <v>28.292216571706611</v>
      </c>
      <c r="J284" s="66">
        <v>32.126994261195087</v>
      </c>
      <c r="K284" s="66">
        <v>32.811493902151902</v>
      </c>
      <c r="L284" s="66">
        <v>29.85162534256251</v>
      </c>
      <c r="M284" s="66">
        <v>22.996883740641334</v>
      </c>
      <c r="N284" s="66">
        <v>28.231253496256535</v>
      </c>
      <c r="O284" s="81"/>
    </row>
    <row r="285" spans="1:15" x14ac:dyDescent="0.35">
      <c r="A285" s="118">
        <v>40878</v>
      </c>
      <c r="B285" s="58">
        <v>29.882258650028366</v>
      </c>
      <c r="C285" s="58">
        <v>28.366640598411795</v>
      </c>
      <c r="D285" s="58">
        <v>23.000669260493474</v>
      </c>
      <c r="E285" s="58">
        <v>30.708187850570361</v>
      </c>
      <c r="F285" s="58">
        <v>33.966788996029493</v>
      </c>
      <c r="G285" s="67"/>
      <c r="H285" s="58">
        <v>35.88241764747589</v>
      </c>
      <c r="I285" s="66">
        <v>31.067326345559966</v>
      </c>
      <c r="J285" s="66">
        <v>33.44114692640386</v>
      </c>
      <c r="K285" s="66">
        <v>37.871750094535827</v>
      </c>
      <c r="L285" s="66">
        <v>32.966561486103231</v>
      </c>
      <c r="M285" s="66">
        <v>23.620384174702213</v>
      </c>
      <c r="N285" s="66">
        <v>29.736526145065227</v>
      </c>
      <c r="O285" s="81"/>
    </row>
    <row r="286" spans="1:15" x14ac:dyDescent="0.35">
      <c r="A286" s="118">
        <v>40909</v>
      </c>
      <c r="B286" s="58">
        <v>27.314768365180466</v>
      </c>
      <c r="C286" s="58">
        <v>28.147426362349606</v>
      </c>
      <c r="D286" s="58">
        <v>22.594701043878274</v>
      </c>
      <c r="E286" s="58">
        <v>30.474187143194147</v>
      </c>
      <c r="F286" s="58">
        <v>31.987685173389949</v>
      </c>
      <c r="G286" s="67"/>
      <c r="H286" s="58">
        <v>30.534044886765745</v>
      </c>
      <c r="I286" s="66">
        <v>28.868617425493433</v>
      </c>
      <c r="J286" s="66">
        <v>31.713810916489734</v>
      </c>
      <c r="K286" s="66">
        <v>36.419833404104736</v>
      </c>
      <c r="L286" s="66">
        <v>41.567465590941261</v>
      </c>
      <c r="M286" s="66">
        <v>22.47933276716207</v>
      </c>
      <c r="N286" s="66">
        <v>29.039273301486201</v>
      </c>
      <c r="O286" s="81"/>
    </row>
    <row r="287" spans="1:15" x14ac:dyDescent="0.35">
      <c r="A287" s="118">
        <v>40940</v>
      </c>
      <c r="B287" s="58">
        <v>28.451315925141241</v>
      </c>
      <c r="C287" s="58">
        <v>27.932758050847454</v>
      </c>
      <c r="D287" s="58">
        <v>22.637060840395478</v>
      </c>
      <c r="E287" s="58">
        <v>29.982073854362838</v>
      </c>
      <c r="F287" s="58">
        <v>31.067894602672286</v>
      </c>
      <c r="G287" s="67"/>
      <c r="H287" s="58">
        <v>27.443337007735582</v>
      </c>
      <c r="I287" s="66">
        <v>27.982856016565091</v>
      </c>
      <c r="J287" s="66">
        <v>31.621726712570624</v>
      </c>
      <c r="K287" s="66">
        <v>28.762984557438795</v>
      </c>
      <c r="L287" s="66">
        <v>30.685701153305207</v>
      </c>
      <c r="M287" s="66">
        <v>22.190580508474575</v>
      </c>
      <c r="N287" s="66">
        <v>29.046276670182845</v>
      </c>
      <c r="O287" s="81"/>
    </row>
    <row r="288" spans="1:15" x14ac:dyDescent="0.35">
      <c r="A288" s="118">
        <v>40969</v>
      </c>
      <c r="B288" s="58">
        <v>25.795426411290322</v>
      </c>
      <c r="C288" s="58">
        <v>27.550285459111493</v>
      </c>
      <c r="D288" s="58">
        <v>22.23456670911149</v>
      </c>
      <c r="E288" s="58">
        <v>30.332099163679807</v>
      </c>
      <c r="F288" s="58">
        <v>30.601734649122807</v>
      </c>
      <c r="G288" s="67"/>
      <c r="H288" s="58">
        <v>28.745595164827389</v>
      </c>
      <c r="I288" s="66">
        <v>27.90671683015783</v>
      </c>
      <c r="J288" s="66">
        <v>31.625569556451616</v>
      </c>
      <c r="K288" s="66">
        <v>29.619013582342955</v>
      </c>
      <c r="L288" s="66">
        <v>37.888310526315799</v>
      </c>
      <c r="M288" s="66">
        <v>24.863445840407472</v>
      </c>
      <c r="N288" s="66">
        <v>29.818566125495188</v>
      </c>
      <c r="O288" s="80"/>
    </row>
    <row r="289" spans="1:15" x14ac:dyDescent="0.35">
      <c r="A289" s="118">
        <v>41000</v>
      </c>
      <c r="B289" s="58">
        <v>31.769927710630476</v>
      </c>
      <c r="C289" s="58">
        <v>28.693012757986992</v>
      </c>
      <c r="D289" s="58">
        <v>25.434749187164261</v>
      </c>
      <c r="E289" s="58">
        <v>30.301215421103887</v>
      </c>
      <c r="F289" s="58">
        <v>35.445994451512576</v>
      </c>
      <c r="G289" s="67"/>
      <c r="H289" s="58">
        <v>38.388651311139384</v>
      </c>
      <c r="I289" s="66">
        <v>31.459887255363938</v>
      </c>
      <c r="J289" s="66">
        <v>35.839751395957023</v>
      </c>
      <c r="K289" s="66">
        <v>45.574131090377911</v>
      </c>
      <c r="L289" s="66">
        <v>38.168427961549334</v>
      </c>
      <c r="M289" s="66">
        <v>28.232527537461124</v>
      </c>
      <c r="N289" s="66">
        <v>29.956441528838003</v>
      </c>
      <c r="O289" s="80"/>
    </row>
    <row r="290" spans="1:15" x14ac:dyDescent="0.35">
      <c r="A290" s="118">
        <v>41030</v>
      </c>
      <c r="B290" s="58">
        <v>29.861943355776049</v>
      </c>
      <c r="C290" s="58">
        <v>28.428344365698084</v>
      </c>
      <c r="D290" s="58">
        <v>22.60755070871722</v>
      </c>
      <c r="E290" s="58">
        <v>30.265244231829271</v>
      </c>
      <c r="F290" s="58">
        <v>33.05865813253012</v>
      </c>
      <c r="G290" s="67"/>
      <c r="H290" s="58">
        <v>36.296562508858962</v>
      </c>
      <c r="I290" s="66">
        <v>31.200214654697227</v>
      </c>
      <c r="J290" s="66">
        <v>33.566998068745569</v>
      </c>
      <c r="K290" s="66">
        <v>31.467667989605484</v>
      </c>
      <c r="L290" s="66">
        <v>31.875411537916371</v>
      </c>
      <c r="M290" s="66">
        <v>29.277854741318215</v>
      </c>
      <c r="N290" s="66">
        <v>29.901123706591065</v>
      </c>
      <c r="O290" s="81"/>
    </row>
    <row r="291" spans="1:15" x14ac:dyDescent="0.35">
      <c r="A291" s="118">
        <v>41061</v>
      </c>
      <c r="B291" s="58">
        <v>30.094132296548779</v>
      </c>
      <c r="C291" s="58">
        <v>28.062769244425503</v>
      </c>
      <c r="D291" s="58">
        <v>22.398507651611986</v>
      </c>
      <c r="E291" s="58">
        <v>30.344221922391082</v>
      </c>
      <c r="F291" s="58">
        <v>32.324806490555318</v>
      </c>
      <c r="G291" s="67"/>
      <c r="H291" s="58">
        <v>37.102234164181219</v>
      </c>
      <c r="I291" s="66">
        <v>28.450877921381121</v>
      </c>
      <c r="J291" s="66">
        <v>33.759242738957532</v>
      </c>
      <c r="K291" s="66">
        <v>38.830268475121905</v>
      </c>
      <c r="L291" s="66">
        <v>34.606214429768499</v>
      </c>
      <c r="M291" s="66">
        <v>29.50062800738532</v>
      </c>
      <c r="N291" s="66">
        <v>30.312569255077403</v>
      </c>
      <c r="O291" s="81"/>
    </row>
    <row r="292" spans="1:15" x14ac:dyDescent="0.35">
      <c r="A292" s="118">
        <v>41091</v>
      </c>
      <c r="B292" s="58">
        <v>30.824234352824295</v>
      </c>
      <c r="C292" s="58">
        <v>27.933255889866587</v>
      </c>
      <c r="D292" s="58">
        <v>22.381651805989215</v>
      </c>
      <c r="E292" s="58">
        <v>30.210630712460969</v>
      </c>
      <c r="F292" s="58">
        <v>32.054459356372412</v>
      </c>
      <c r="G292" s="67"/>
      <c r="H292" s="58">
        <v>38.882560193726938</v>
      </c>
      <c r="I292" s="66">
        <v>28.224745560917157</v>
      </c>
      <c r="J292" s="66">
        <v>31.790911563298327</v>
      </c>
      <c r="K292" s="66">
        <v>32.729423360772067</v>
      </c>
      <c r="L292" s="66">
        <v>32.653779108714161</v>
      </c>
      <c r="M292" s="66">
        <v>25.929487936417821</v>
      </c>
      <c r="N292" s="66">
        <v>30.773938972466645</v>
      </c>
      <c r="O292" s="81"/>
    </row>
    <row r="293" spans="1:15" x14ac:dyDescent="0.35">
      <c r="A293" s="118">
        <v>41122</v>
      </c>
      <c r="B293" s="58">
        <v>30.654621347402596</v>
      </c>
      <c r="C293" s="58">
        <v>28.018272974308296</v>
      </c>
      <c r="D293" s="58">
        <v>22.130261522444943</v>
      </c>
      <c r="E293" s="58">
        <v>29.865217603049118</v>
      </c>
      <c r="F293" s="58">
        <v>31.317960615471485</v>
      </c>
      <c r="G293" s="67"/>
      <c r="H293" s="58">
        <v>39.426107566346694</v>
      </c>
      <c r="I293" s="66">
        <v>28.17146243490809</v>
      </c>
      <c r="J293" s="66">
        <v>31.592100825804629</v>
      </c>
      <c r="K293" s="66">
        <v>32.662648362507063</v>
      </c>
      <c r="L293" s="66">
        <v>30.740065047995483</v>
      </c>
      <c r="M293" s="66">
        <v>23.225821852060982</v>
      </c>
      <c r="N293" s="66">
        <v>29.720143404150196</v>
      </c>
      <c r="O293" s="81"/>
    </row>
    <row r="294" spans="1:15" ht="15" thickBot="1" x14ac:dyDescent="0.4">
      <c r="A294" s="119">
        <v>41153</v>
      </c>
      <c r="B294" s="60">
        <v>28.71963097772101</v>
      </c>
      <c r="C294" s="60">
        <v>27.635416453810134</v>
      </c>
      <c r="D294" s="60">
        <v>22.263626312615294</v>
      </c>
      <c r="E294" s="60">
        <v>30.039194479920532</v>
      </c>
      <c r="F294" s="60">
        <v>30.850846725556973</v>
      </c>
      <c r="G294" s="71"/>
      <c r="H294" s="60">
        <v>32.487226160068111</v>
      </c>
      <c r="I294" s="72">
        <v>28.078176497485138</v>
      </c>
      <c r="J294" s="72">
        <v>31.918969011636158</v>
      </c>
      <c r="K294" s="72">
        <v>31.504929142424668</v>
      </c>
      <c r="L294" s="72">
        <v>26.815114630339156</v>
      </c>
      <c r="M294" s="72">
        <v>23.397123314885768</v>
      </c>
      <c r="N294" s="72">
        <v>28.977106783028237</v>
      </c>
      <c r="O294" s="69"/>
    </row>
    <row r="295" spans="1:15" x14ac:dyDescent="0.35">
      <c r="A295" s="118">
        <v>41183</v>
      </c>
      <c r="B295" s="58">
        <v>26.561813775510203</v>
      </c>
      <c r="C295" s="58">
        <v>26.77779116578138</v>
      </c>
      <c r="D295" s="58">
        <v>22.057000961000835</v>
      </c>
      <c r="E295" s="58">
        <v>29.382289154474581</v>
      </c>
      <c r="F295" s="58">
        <v>29.7608550286553</v>
      </c>
      <c r="G295" s="67"/>
      <c r="H295" s="58">
        <v>30.260178903410676</v>
      </c>
      <c r="I295" s="66">
        <v>27.348006701767456</v>
      </c>
      <c r="J295" s="66">
        <v>30.742660504612804</v>
      </c>
      <c r="K295" s="66">
        <v>32.661358727052466</v>
      </c>
      <c r="L295" s="66">
        <v>27.535495331283194</v>
      </c>
      <c r="M295" s="66">
        <v>27.644871037181996</v>
      </c>
      <c r="N295" s="66">
        <v>28.547220610847077</v>
      </c>
      <c r="O295" s="81"/>
    </row>
    <row r="296" spans="1:15" x14ac:dyDescent="0.35">
      <c r="A296" s="118">
        <v>41214</v>
      </c>
      <c r="B296" s="58">
        <v>26.89875612972202</v>
      </c>
      <c r="C296" s="58">
        <v>27.711079793300069</v>
      </c>
      <c r="D296" s="58">
        <v>24.674969583036347</v>
      </c>
      <c r="E296" s="58">
        <v>30.207100293022886</v>
      </c>
      <c r="F296" s="58">
        <v>29.961135513186029</v>
      </c>
      <c r="G296" s="67"/>
      <c r="H296" s="58">
        <v>30.896722220242339</v>
      </c>
      <c r="I296" s="66">
        <v>29.551044531559359</v>
      </c>
      <c r="J296" s="66">
        <v>31.972747968638629</v>
      </c>
      <c r="K296" s="66">
        <v>35.57499253979568</v>
      </c>
      <c r="L296" s="66">
        <v>29.496171147540984</v>
      </c>
      <c r="M296" s="66">
        <v>28.27081525302922</v>
      </c>
      <c r="N296" s="66">
        <v>29.742899305060583</v>
      </c>
      <c r="O296" s="81"/>
    </row>
    <row r="297" spans="1:15" x14ac:dyDescent="0.35">
      <c r="A297" s="118">
        <v>41244</v>
      </c>
      <c r="B297" s="58">
        <v>27.032706331031562</v>
      </c>
      <c r="C297" s="58">
        <v>27.558085523534384</v>
      </c>
      <c r="D297" s="58">
        <v>24.416797385851179</v>
      </c>
      <c r="E297" s="58">
        <v>29.608662485907555</v>
      </c>
      <c r="F297" s="58">
        <v>28.796622022970688</v>
      </c>
      <c r="G297" s="67"/>
      <c r="H297" s="58">
        <v>39.628822294250284</v>
      </c>
      <c r="I297" s="66">
        <v>30.766849484842794</v>
      </c>
      <c r="J297" s="66">
        <v>32.57116188697858</v>
      </c>
      <c r="K297" s="66">
        <v>30.02417150507328</v>
      </c>
      <c r="L297" s="66">
        <v>34.597966939120639</v>
      </c>
      <c r="M297" s="66">
        <v>28.835176465614428</v>
      </c>
      <c r="N297" s="66">
        <v>29.841387489430666</v>
      </c>
      <c r="O297" s="81"/>
    </row>
    <row r="298" spans="1:15" x14ac:dyDescent="0.35">
      <c r="A298" s="118">
        <v>41275</v>
      </c>
      <c r="B298" s="58">
        <v>26.685292059859155</v>
      </c>
      <c r="C298" s="58">
        <v>28.738706795774647</v>
      </c>
      <c r="D298" s="58">
        <v>25.176925669014086</v>
      </c>
      <c r="E298" s="58">
        <v>29.679064929577464</v>
      </c>
      <c r="F298" s="58">
        <v>38.335950000000004</v>
      </c>
      <c r="G298" s="67"/>
      <c r="H298" s="58">
        <v>41.55433070422535</v>
      </c>
      <c r="I298" s="66">
        <v>30.564186173708922</v>
      </c>
      <c r="J298" s="66">
        <v>33.128043010563381</v>
      </c>
      <c r="K298" s="66">
        <v>50.128693192488264</v>
      </c>
      <c r="L298" s="66">
        <v>38.578726112676051</v>
      </c>
      <c r="M298" s="66">
        <v>31.015930760563378</v>
      </c>
      <c r="N298" s="66">
        <v>30.410787341549295</v>
      </c>
      <c r="O298" s="80"/>
    </row>
    <row r="299" spans="1:15" x14ac:dyDescent="0.35">
      <c r="A299" s="118">
        <v>41306</v>
      </c>
      <c r="B299" s="58">
        <v>27.527221597340127</v>
      </c>
      <c r="C299" s="58">
        <v>27.865157311120541</v>
      </c>
      <c r="D299" s="58">
        <v>25.176713249858519</v>
      </c>
      <c r="E299" s="58">
        <v>29.908258921272719</v>
      </c>
      <c r="F299" s="58">
        <v>34.794343608517266</v>
      </c>
      <c r="G299" s="67"/>
      <c r="H299" s="58">
        <v>30.807303851867573</v>
      </c>
      <c r="I299" s="66">
        <v>29.484864357353956</v>
      </c>
      <c r="J299" s="66">
        <v>33.040487337294849</v>
      </c>
      <c r="K299" s="66">
        <v>44.743558762497649</v>
      </c>
      <c r="L299" s="66">
        <v>30.14847962648556</v>
      </c>
      <c r="M299" s="66">
        <v>35.613210979060554</v>
      </c>
      <c r="N299" s="66">
        <v>29.489655401103569</v>
      </c>
      <c r="O299" s="80"/>
    </row>
    <row r="300" spans="1:15" x14ac:dyDescent="0.35">
      <c r="A300" s="118">
        <v>41334</v>
      </c>
      <c r="B300" s="58">
        <v>27.322530837707475</v>
      </c>
      <c r="C300" s="58">
        <v>28.694004876578234</v>
      </c>
      <c r="D300" s="58">
        <v>24.869160856149808</v>
      </c>
      <c r="E300" s="58">
        <v>30.408794304944749</v>
      </c>
      <c r="F300" s="58">
        <v>34.762073662930909</v>
      </c>
      <c r="G300" s="67"/>
      <c r="H300" s="58">
        <v>32.545996843523902</v>
      </c>
      <c r="I300" s="66">
        <v>29.533356819722265</v>
      </c>
      <c r="J300" s="66">
        <v>33.192520162434384</v>
      </c>
      <c r="K300" s="66">
        <v>40.369297678157658</v>
      </c>
      <c r="L300" s="66">
        <v>29.908020825649025</v>
      </c>
      <c r="M300" s="66">
        <v>30.95371950631295</v>
      </c>
      <c r="N300" s="66">
        <v>29.70250081571854</v>
      </c>
      <c r="O300" s="80"/>
    </row>
    <row r="301" spans="1:15" x14ac:dyDescent="0.35">
      <c r="A301" s="118">
        <v>41365</v>
      </c>
      <c r="B301" s="58">
        <v>27.60096280141844</v>
      </c>
      <c r="C301" s="58">
        <v>28.316762659574465</v>
      </c>
      <c r="D301" s="58">
        <v>24.426108936170209</v>
      </c>
      <c r="E301" s="58">
        <v>30.007292474389285</v>
      </c>
      <c r="F301" s="58">
        <v>32.894061471631204</v>
      </c>
      <c r="G301" s="67"/>
      <c r="H301" s="58">
        <v>29.314056843971635</v>
      </c>
      <c r="I301" s="66">
        <v>28.035938557919621</v>
      </c>
      <c r="J301" s="66">
        <v>31.986242269503549</v>
      </c>
      <c r="K301" s="66">
        <v>29.828119101654845</v>
      </c>
      <c r="L301" s="66">
        <v>26.645892765957448</v>
      </c>
      <c r="M301" s="66">
        <v>26.763316113475174</v>
      </c>
      <c r="N301" s="66">
        <v>28.16797280141844</v>
      </c>
      <c r="O301" s="81"/>
    </row>
    <row r="302" spans="1:15" x14ac:dyDescent="0.35">
      <c r="A302" s="118">
        <v>41395</v>
      </c>
      <c r="B302" s="58">
        <v>26.723226394012489</v>
      </c>
      <c r="C302" s="58">
        <v>27.878686258513049</v>
      </c>
      <c r="D302" s="58">
        <v>23.788820924375713</v>
      </c>
      <c r="E302" s="58">
        <v>29.925015623029381</v>
      </c>
      <c r="F302" s="58">
        <v>32.248114553774123</v>
      </c>
      <c r="G302" s="67"/>
      <c r="H302" s="58">
        <v>28.687206477014755</v>
      </c>
      <c r="I302" s="66">
        <v>27.787286377538148</v>
      </c>
      <c r="J302" s="66">
        <v>31.103716533059028</v>
      </c>
      <c r="K302" s="66">
        <v>27.440905410518351</v>
      </c>
      <c r="L302" s="66">
        <v>26.210560215664014</v>
      </c>
      <c r="M302" s="66">
        <v>26.221823183881952</v>
      </c>
      <c r="N302" s="66">
        <v>26.978654423240634</v>
      </c>
      <c r="O302" s="80"/>
    </row>
    <row r="303" spans="1:15" x14ac:dyDescent="0.35">
      <c r="A303" s="118">
        <v>41426</v>
      </c>
      <c r="B303" s="58">
        <v>26.423357502125249</v>
      </c>
      <c r="C303" s="58">
        <v>27.955762680646075</v>
      </c>
      <c r="D303" s="58">
        <v>23.622651051997735</v>
      </c>
      <c r="E303" s="58">
        <v>29.996738035641197</v>
      </c>
      <c r="F303" s="58">
        <v>31.874140797676397</v>
      </c>
      <c r="G303" s="67"/>
      <c r="H303" s="58">
        <v>28.901716598186454</v>
      </c>
      <c r="I303" s="66">
        <v>30.610860512893176</v>
      </c>
      <c r="J303" s="66">
        <v>31.414218404647208</v>
      </c>
      <c r="K303" s="66">
        <v>28.327985170492113</v>
      </c>
      <c r="L303" s="66">
        <v>26.144993992632472</v>
      </c>
      <c r="M303" s="66">
        <v>24.422594672711814</v>
      </c>
      <c r="N303" s="66">
        <v>27.016838144658543</v>
      </c>
      <c r="O303" s="81"/>
    </row>
    <row r="304" spans="1:15" x14ac:dyDescent="0.35">
      <c r="A304" s="118">
        <v>41456</v>
      </c>
      <c r="B304" s="58">
        <v>27.240811592914056</v>
      </c>
      <c r="C304" s="58">
        <v>28.019361180278885</v>
      </c>
      <c r="D304" s="58">
        <v>23.65161731644849</v>
      </c>
      <c r="E304" s="58">
        <v>30.311645133750712</v>
      </c>
      <c r="F304" s="58">
        <v>31.224323082669322</v>
      </c>
      <c r="G304" s="67"/>
      <c r="H304" s="58">
        <v>33.930085443938523</v>
      </c>
      <c r="I304" s="66">
        <v>28.669385094542463</v>
      </c>
      <c r="J304" s="66">
        <v>31.487537386169606</v>
      </c>
      <c r="K304" s="66">
        <v>27.563190286473155</v>
      </c>
      <c r="L304" s="66">
        <v>26.337411696072856</v>
      </c>
      <c r="M304" s="66">
        <v>21.983988303927148</v>
      </c>
      <c r="N304" s="66">
        <v>27.207531623505979</v>
      </c>
      <c r="O304" s="81"/>
    </row>
    <row r="305" spans="1:15" x14ac:dyDescent="0.35">
      <c r="A305" s="118">
        <v>41487</v>
      </c>
      <c r="B305" s="58">
        <v>27.338424057138806</v>
      </c>
      <c r="C305" s="58">
        <v>27.618793740252379</v>
      </c>
      <c r="D305" s="58">
        <v>23.942835672763362</v>
      </c>
      <c r="E305" s="58">
        <v>29.972737849929892</v>
      </c>
      <c r="F305" s="58">
        <v>30.324009464057845</v>
      </c>
      <c r="G305" s="67"/>
      <c r="H305" s="58">
        <v>32.798096058414863</v>
      </c>
      <c r="I305" s="66">
        <v>30.957995549569134</v>
      </c>
      <c r="J305" s="66">
        <v>31.073671770877635</v>
      </c>
      <c r="K305" s="66">
        <v>27.531031665012524</v>
      </c>
      <c r="L305" s="66">
        <v>26.689051694314475</v>
      </c>
      <c r="M305" s="66">
        <v>21.029402750602578</v>
      </c>
      <c r="N305" s="66">
        <v>27.335409329363394</v>
      </c>
      <c r="O305" s="81"/>
    </row>
    <row r="306" spans="1:15" ht="15" thickBot="1" x14ac:dyDescent="0.4">
      <c r="A306" s="119">
        <v>41518</v>
      </c>
      <c r="B306" s="60">
        <v>26.643121872791518</v>
      </c>
      <c r="C306" s="60">
        <v>27.966479134275616</v>
      </c>
      <c r="D306" s="60">
        <v>23.478484787985863</v>
      </c>
      <c r="E306" s="60">
        <v>29.812990498625837</v>
      </c>
      <c r="F306" s="60">
        <v>29.829798215547708</v>
      </c>
      <c r="G306" s="71"/>
      <c r="H306" s="60">
        <v>32.542630512367488</v>
      </c>
      <c r="I306" s="72">
        <v>28.294285268943852</v>
      </c>
      <c r="J306" s="72">
        <v>30.793514858657247</v>
      </c>
      <c r="K306" s="72">
        <v>27.097932014134276</v>
      </c>
      <c r="L306" s="72">
        <v>26.55776983745583</v>
      </c>
      <c r="M306" s="72">
        <v>19.553292946996464</v>
      </c>
      <c r="N306" s="72">
        <v>26.437756060070665</v>
      </c>
      <c r="O306" s="69"/>
    </row>
    <row r="307" spans="1:15" x14ac:dyDescent="0.35">
      <c r="A307" s="118">
        <v>41548</v>
      </c>
      <c r="B307" s="58">
        <v>26.314518110292031</v>
      </c>
      <c r="C307" s="58">
        <v>28.4667285937057</v>
      </c>
      <c r="D307" s="58">
        <v>23.598633452650979</v>
      </c>
      <c r="E307" s="58">
        <v>29.817581734555649</v>
      </c>
      <c r="F307" s="58">
        <v>29.252456230507512</v>
      </c>
      <c r="G307" s="67"/>
      <c r="H307" s="58">
        <v>29.210256024950382</v>
      </c>
      <c r="I307" s="66">
        <v>28.349729082002327</v>
      </c>
      <c r="J307" s="66">
        <v>30.692287053444854</v>
      </c>
      <c r="K307" s="66">
        <v>26.900632076363291</v>
      </c>
      <c r="L307" s="66">
        <v>27.769822341933651</v>
      </c>
      <c r="M307" s="66">
        <v>18.345913580946977</v>
      </c>
      <c r="N307" s="66">
        <v>27.355456514034589</v>
      </c>
      <c r="O307" s="81"/>
    </row>
    <row r="308" spans="1:15" x14ac:dyDescent="0.35">
      <c r="A308" s="118">
        <v>41579</v>
      </c>
      <c r="B308" s="58">
        <v>25.809800866336634</v>
      </c>
      <c r="C308" s="58">
        <v>27.855888932107501</v>
      </c>
      <c r="D308" s="58">
        <v>24.271976714992928</v>
      </c>
      <c r="E308" s="58">
        <v>30.011248727015545</v>
      </c>
      <c r="F308" s="58">
        <v>28.906501520509195</v>
      </c>
      <c r="G308" s="67"/>
      <c r="H308" s="58">
        <v>33.67836785714286</v>
      </c>
      <c r="I308" s="66">
        <v>27.903785816438784</v>
      </c>
      <c r="J308" s="66">
        <v>30.150595243988683</v>
      </c>
      <c r="K308" s="66">
        <v>27.066592833569072</v>
      </c>
      <c r="L308" s="66">
        <v>28.93737830268741</v>
      </c>
      <c r="M308" s="66">
        <v>18.386340735502124</v>
      </c>
      <c r="N308" s="66">
        <v>27.748622188826022</v>
      </c>
      <c r="O308" s="81"/>
    </row>
    <row r="309" spans="1:15" x14ac:dyDescent="0.35">
      <c r="A309" s="118">
        <v>41609</v>
      </c>
      <c r="B309" s="58">
        <v>26.828555776609353</v>
      </c>
      <c r="C309" s="58">
        <v>28.371577163564016</v>
      </c>
      <c r="D309" s="58">
        <v>24.469707155037657</v>
      </c>
      <c r="E309" s="58">
        <v>29.915046192348385</v>
      </c>
      <c r="F309" s="58">
        <v>28.351433281227791</v>
      </c>
      <c r="G309" s="67"/>
      <c r="H309" s="58">
        <v>33.990713141253373</v>
      </c>
      <c r="I309" s="66">
        <v>29.673319604313708</v>
      </c>
      <c r="J309" s="66">
        <v>30.442368267727723</v>
      </c>
      <c r="K309" s="66">
        <v>30.228843114963766</v>
      </c>
      <c r="L309" s="66">
        <v>27.724555662924541</v>
      </c>
      <c r="M309" s="66">
        <v>18.605017251669743</v>
      </c>
      <c r="N309" s="66">
        <v>27.460066487849939</v>
      </c>
      <c r="O309" s="81"/>
    </row>
    <row r="310" spans="1:15" x14ac:dyDescent="0.35">
      <c r="A310" s="118">
        <v>41640</v>
      </c>
      <c r="B310" s="58">
        <v>27.414389962282954</v>
      </c>
      <c r="C310" s="58">
        <v>28.107415634785081</v>
      </c>
      <c r="D310" s="58">
        <v>24.359831394107601</v>
      </c>
      <c r="E310" s="58">
        <v>29.827033921624441</v>
      </c>
      <c r="F310" s="58">
        <v>28.202240108169654</v>
      </c>
      <c r="G310" s="67"/>
      <c r="H310" s="58">
        <v>35.689338421576998</v>
      </c>
      <c r="I310" s="66">
        <v>31.398026615428407</v>
      </c>
      <c r="J310" s="66">
        <v>30.41548366780529</v>
      </c>
      <c r="K310" s="66">
        <v>28.215690388082361</v>
      </c>
      <c r="L310" s="66">
        <v>32.230867947623111</v>
      </c>
      <c r="M310" s="66">
        <v>18.246880927981781</v>
      </c>
      <c r="N310" s="66">
        <v>28.076143733988044</v>
      </c>
      <c r="O310" s="81"/>
    </row>
    <row r="311" spans="1:15" x14ac:dyDescent="0.35">
      <c r="A311" s="118">
        <v>41671</v>
      </c>
      <c r="B311" s="58">
        <v>26.435039219501839</v>
      </c>
      <c r="C311" s="58">
        <v>27.90953805193886</v>
      </c>
      <c r="D311" s="58">
        <v>24.096905356637421</v>
      </c>
      <c r="E311" s="58">
        <v>29.598803267603859</v>
      </c>
      <c r="F311" s="58">
        <v>27.895495205915651</v>
      </c>
      <c r="G311" s="67"/>
      <c r="H311" s="58">
        <v>30.74819906948769</v>
      </c>
      <c r="I311" s="66">
        <v>29.692422241091929</v>
      </c>
      <c r="J311" s="66">
        <v>30.550596164732521</v>
      </c>
      <c r="K311" s="66">
        <v>27.968049910368904</v>
      </c>
      <c r="L311" s="66">
        <v>31.960497905462773</v>
      </c>
      <c r="M311" s="66">
        <v>18.055672997452589</v>
      </c>
      <c r="N311" s="66">
        <v>27.759078987404472</v>
      </c>
      <c r="O311" s="80"/>
    </row>
    <row r="312" spans="1:15" x14ac:dyDescent="0.35">
      <c r="A312" s="118">
        <v>41699</v>
      </c>
      <c r="B312" s="58">
        <v>27.22172642411789</v>
      </c>
      <c r="C312" s="58">
        <v>28.652910443531248</v>
      </c>
      <c r="D312" s="58">
        <v>24.596382545699303</v>
      </c>
      <c r="E312" s="58">
        <v>29.689835348668776</v>
      </c>
      <c r="F312" s="58">
        <v>33.492823278305224</v>
      </c>
      <c r="G312" s="67"/>
      <c r="H312" s="58">
        <v>33.657534982995607</v>
      </c>
      <c r="I312" s="66">
        <v>30.35046766016406</v>
      </c>
      <c r="J312" s="66">
        <v>30.786127887204195</v>
      </c>
      <c r="K312" s="66">
        <v>32.718477398327906</v>
      </c>
      <c r="L312" s="66">
        <v>34.56324849086014</v>
      </c>
      <c r="M312" s="66">
        <v>21.044033158565963</v>
      </c>
      <c r="N312" s="66">
        <v>28.778452901374521</v>
      </c>
      <c r="O312" s="80"/>
    </row>
    <row r="313" spans="1:15" x14ac:dyDescent="0.35">
      <c r="A313" s="118">
        <v>41730</v>
      </c>
      <c r="B313" s="58">
        <v>26.46981316254417</v>
      </c>
      <c r="C313" s="58">
        <v>28.061648657243818</v>
      </c>
      <c r="D313" s="58">
        <v>23.723921978798586</v>
      </c>
      <c r="E313" s="58">
        <v>29.487967098547315</v>
      </c>
      <c r="F313" s="58">
        <v>31.563887102473494</v>
      </c>
      <c r="G313" s="67"/>
      <c r="H313" s="58">
        <v>27.684977703180209</v>
      </c>
      <c r="I313" s="66">
        <v>28.50844452296819</v>
      </c>
      <c r="J313" s="66">
        <v>30.812548763250884</v>
      </c>
      <c r="K313" s="66">
        <v>29.825457149587749</v>
      </c>
      <c r="L313" s="66">
        <v>32.26874264310954</v>
      </c>
      <c r="M313" s="66">
        <v>19.109302077738516</v>
      </c>
      <c r="N313" s="66">
        <v>28.711806766784449</v>
      </c>
      <c r="O313" s="81"/>
    </row>
    <row r="314" spans="1:15" x14ac:dyDescent="0.35">
      <c r="A314" s="118">
        <v>41760</v>
      </c>
      <c r="B314" s="58">
        <v>26.00918311030869</v>
      </c>
      <c r="C314" s="58">
        <v>27.637068659728119</v>
      </c>
      <c r="D314" s="58">
        <v>23.57136930048145</v>
      </c>
      <c r="E314" s="58">
        <v>29.629717439189406</v>
      </c>
      <c r="F314" s="58">
        <v>30.244495698810532</v>
      </c>
      <c r="G314" s="67"/>
      <c r="H314" s="58">
        <v>27.672195659869725</v>
      </c>
      <c r="I314" s="66">
        <v>28.912011493439064</v>
      </c>
      <c r="J314" s="66">
        <v>30.596769328802036</v>
      </c>
      <c r="K314" s="66">
        <v>30.666354243368261</v>
      </c>
      <c r="L314" s="66">
        <v>27.926314415179831</v>
      </c>
      <c r="M314" s="66">
        <v>18.458483885584819</v>
      </c>
      <c r="N314" s="66">
        <v>28.744070978476351</v>
      </c>
      <c r="O314" s="81"/>
    </row>
    <row r="315" spans="1:15" x14ac:dyDescent="0.35">
      <c r="A315" s="118">
        <v>41791</v>
      </c>
      <c r="B315" s="58">
        <v>26.430838243666383</v>
      </c>
      <c r="C315" s="58">
        <v>27.617152931966981</v>
      </c>
      <c r="D315" s="58">
        <v>23.473121690862506</v>
      </c>
      <c r="E315" s="58">
        <v>29.917599139703327</v>
      </c>
      <c r="F315" s="58">
        <v>29.972633201679479</v>
      </c>
      <c r="G315" s="67"/>
      <c r="H315" s="58">
        <v>26.832329099060633</v>
      </c>
      <c r="I315" s="66">
        <v>28.408029390834045</v>
      </c>
      <c r="J315" s="66">
        <v>31.174079454881866</v>
      </c>
      <c r="K315" s="66">
        <v>30.967617658221844</v>
      </c>
      <c r="L315" s="66">
        <v>29.230379504696838</v>
      </c>
      <c r="M315" s="66">
        <v>18.34372294335326</v>
      </c>
      <c r="N315" s="66">
        <v>27.901626352120694</v>
      </c>
      <c r="O315" s="80"/>
    </row>
    <row r="316" spans="1:15" x14ac:dyDescent="0.35">
      <c r="A316" s="118">
        <v>41821</v>
      </c>
      <c r="B316" s="58">
        <v>26.337742357769599</v>
      </c>
      <c r="C316" s="58">
        <v>27.70290760331163</v>
      </c>
      <c r="D316" s="58">
        <v>22.719703385932633</v>
      </c>
      <c r="E316" s="58">
        <v>29.414685953077335</v>
      </c>
      <c r="F316" s="58">
        <v>29.355951192329464</v>
      </c>
      <c r="G316" s="67"/>
      <c r="H316" s="58">
        <v>26.608568673931501</v>
      </c>
      <c r="I316" s="66">
        <v>27.920794618989209</v>
      </c>
      <c r="J316" s="66">
        <v>30.596736944523066</v>
      </c>
      <c r="K316" s="66">
        <v>29.150323804132466</v>
      </c>
      <c r="L316" s="66">
        <v>26.413974950467026</v>
      </c>
      <c r="M316" s="66">
        <v>18.485785309934897</v>
      </c>
      <c r="N316" s="66">
        <v>27.557463840928385</v>
      </c>
      <c r="O316" s="80"/>
    </row>
    <row r="317" spans="1:15" x14ac:dyDescent="0.35">
      <c r="A317" s="118">
        <v>41852</v>
      </c>
      <c r="B317" s="58">
        <v>34.494091722159254</v>
      </c>
      <c r="C317" s="58">
        <v>27.342198090818925</v>
      </c>
      <c r="D317" s="58">
        <v>23.475034039387928</v>
      </c>
      <c r="E317" s="58">
        <v>29.811073100658032</v>
      </c>
      <c r="F317" s="58">
        <v>29.466075517143665</v>
      </c>
      <c r="G317" s="67"/>
      <c r="H317" s="58">
        <v>26.504697488665343</v>
      </c>
      <c r="I317" s="66">
        <v>27.870517482132176</v>
      </c>
      <c r="J317" s="66">
        <v>30.901073551289315</v>
      </c>
      <c r="K317" s="66">
        <v>29.731183621422499</v>
      </c>
      <c r="L317" s="66">
        <v>29.016195097761404</v>
      </c>
      <c r="M317" s="66">
        <v>19.093118418815529</v>
      </c>
      <c r="N317" s="66">
        <v>27.858355536270896</v>
      </c>
      <c r="O317" s="81"/>
    </row>
    <row r="318" spans="1:15" ht="15" thickBot="1" x14ac:dyDescent="0.4">
      <c r="A318" s="119">
        <v>41883</v>
      </c>
      <c r="B318" s="60">
        <v>30.294538343015017</v>
      </c>
      <c r="C318" s="60">
        <v>27.221694407055821</v>
      </c>
      <c r="D318" s="60">
        <v>24.630865206149053</v>
      </c>
      <c r="E318" s="60">
        <v>28.201679457510782</v>
      </c>
      <c r="F318" s="60">
        <v>28.168652521960897</v>
      </c>
      <c r="G318" s="71"/>
      <c r="H318" s="60">
        <v>26.049796082459618</v>
      </c>
      <c r="I318" s="72">
        <v>27.755369517647427</v>
      </c>
      <c r="J318" s="72">
        <v>29.022220281949561</v>
      </c>
      <c r="K318" s="72">
        <v>29.227746009256634</v>
      </c>
      <c r="L318" s="72">
        <v>31.47607696231227</v>
      </c>
      <c r="M318" s="72">
        <v>24.257102947010488</v>
      </c>
      <c r="N318" s="72">
        <v>27.568142497874753</v>
      </c>
      <c r="O318" s="69"/>
    </row>
    <row r="319" spans="1:15" x14ac:dyDescent="0.35">
      <c r="A319" s="118">
        <v>41913</v>
      </c>
      <c r="B319" s="58">
        <v>26.734960843159538</v>
      </c>
      <c r="C319" s="58">
        <v>27.213242115357289</v>
      </c>
      <c r="D319" s="58">
        <v>23.993150518539565</v>
      </c>
      <c r="E319" s="58">
        <v>29.71059756752064</v>
      </c>
      <c r="F319" s="58">
        <v>28.647079024009091</v>
      </c>
      <c r="G319" s="67"/>
      <c r="H319" s="58">
        <v>26.356363457167205</v>
      </c>
      <c r="I319" s="66">
        <v>27.617124078546517</v>
      </c>
      <c r="J319" s="66">
        <v>30.586383719278306</v>
      </c>
      <c r="K319" s="66">
        <v>28.602103802623478</v>
      </c>
      <c r="L319" s="66">
        <v>25.82088981389402</v>
      </c>
      <c r="M319" s="66">
        <v>23.765186560590998</v>
      </c>
      <c r="N319" s="66">
        <v>28.306744139792592</v>
      </c>
      <c r="O319" s="81"/>
    </row>
    <row r="320" spans="1:15" x14ac:dyDescent="0.35">
      <c r="A320" s="118">
        <v>41944</v>
      </c>
      <c r="B320" s="58">
        <v>26.882676214174786</v>
      </c>
      <c r="C320" s="58">
        <v>27.10181921502188</v>
      </c>
      <c r="D320" s="58">
        <v>22.929096322179866</v>
      </c>
      <c r="E320" s="58">
        <v>29.201856252058917</v>
      </c>
      <c r="F320" s="58">
        <v>28.021419296202172</v>
      </c>
      <c r="G320" s="67"/>
      <c r="H320" s="58">
        <v>25.981087886488773</v>
      </c>
      <c r="I320" s="66">
        <v>27.241910631088516</v>
      </c>
      <c r="J320" s="66">
        <v>30.235864323026966</v>
      </c>
      <c r="K320" s="66">
        <v>25.977085274601155</v>
      </c>
      <c r="L320" s="66">
        <v>25.29984334321615</v>
      </c>
      <c r="M320" s="66">
        <v>21.944053536637018</v>
      </c>
      <c r="N320" s="66">
        <v>26.481414372441055</v>
      </c>
      <c r="O320" s="81"/>
    </row>
    <row r="321" spans="1:15" x14ac:dyDescent="0.35">
      <c r="A321" s="118">
        <v>41974</v>
      </c>
      <c r="B321" s="58">
        <v>28.736692837514092</v>
      </c>
      <c r="C321" s="58">
        <v>28.538926525507328</v>
      </c>
      <c r="D321" s="58">
        <v>23.728610572857946</v>
      </c>
      <c r="E321" s="58">
        <v>29.345861909683077</v>
      </c>
      <c r="F321" s="58">
        <v>27.880704305242389</v>
      </c>
      <c r="G321" s="67"/>
      <c r="H321" s="58">
        <v>31.581331507187144</v>
      </c>
      <c r="I321" s="66">
        <v>27.596373614242761</v>
      </c>
      <c r="J321" s="66">
        <v>30.487623872604285</v>
      </c>
      <c r="K321" s="66">
        <v>28.54325474445697</v>
      </c>
      <c r="L321" s="66">
        <v>29.93947158962796</v>
      </c>
      <c r="M321" s="66">
        <v>22.332460315670797</v>
      </c>
      <c r="N321" s="66">
        <v>27.149568242671926</v>
      </c>
      <c r="O321" s="81"/>
    </row>
    <row r="322" spans="1:15" x14ac:dyDescent="0.35">
      <c r="A322" s="118">
        <v>42005</v>
      </c>
      <c r="B322" s="58">
        <v>27.435713116496601</v>
      </c>
      <c r="C322" s="58">
        <v>29.805286157171199</v>
      </c>
      <c r="D322" s="58">
        <v>24.235433460884352</v>
      </c>
      <c r="E322" s="58">
        <v>30.019910478080121</v>
      </c>
      <c r="F322" s="58">
        <v>31.375291524943311</v>
      </c>
      <c r="G322" s="86"/>
      <c r="H322" s="58">
        <v>32.61984472434807</v>
      </c>
      <c r="I322" s="66">
        <v>28.821675059838746</v>
      </c>
      <c r="J322" s="66">
        <v>30.387885717828794</v>
      </c>
      <c r="K322" s="66">
        <v>41.987978694255482</v>
      </c>
      <c r="L322" s="66">
        <v>34.120339937641724</v>
      </c>
      <c r="M322" s="66">
        <v>23.723549433106577</v>
      </c>
      <c r="N322" s="66">
        <v>29.257843466553293</v>
      </c>
      <c r="O322" s="81"/>
    </row>
    <row r="323" spans="1:15" x14ac:dyDescent="0.35">
      <c r="A323" s="118">
        <v>42036</v>
      </c>
      <c r="B323" s="58">
        <v>28.10106771714608</v>
      </c>
      <c r="C323" s="58">
        <v>28.520808622391424</v>
      </c>
      <c r="D323" s="58">
        <v>24.041573533558942</v>
      </c>
      <c r="E323" s="58">
        <v>29.755379888136865</v>
      </c>
      <c r="F323" s="58">
        <v>29.915947440778339</v>
      </c>
      <c r="G323" s="87"/>
      <c r="H323" s="58">
        <v>27.12267165468133</v>
      </c>
      <c r="I323" s="66">
        <v>27.513652534937641</v>
      </c>
      <c r="J323" s="66">
        <v>30.731444056683582</v>
      </c>
      <c r="K323" s="66">
        <v>33.988766732468513</v>
      </c>
      <c r="L323" s="66">
        <v>31.456996192893406</v>
      </c>
      <c r="M323" s="66">
        <v>22.468944275239704</v>
      </c>
      <c r="N323" s="66">
        <v>27.283572335025383</v>
      </c>
      <c r="O323" s="81"/>
    </row>
    <row r="324" spans="1:15" x14ac:dyDescent="0.35">
      <c r="A324" s="118">
        <v>42064</v>
      </c>
      <c r="B324" s="58">
        <v>28.459105360181507</v>
      </c>
      <c r="C324" s="58">
        <v>29.879243494753261</v>
      </c>
      <c r="D324" s="58">
        <v>24.439903378474195</v>
      </c>
      <c r="E324" s="58">
        <v>30.201195074683305</v>
      </c>
      <c r="F324" s="58">
        <v>29.850096993760634</v>
      </c>
      <c r="G324" s="87"/>
      <c r="H324" s="58">
        <v>29.913415254537718</v>
      </c>
      <c r="I324" s="66">
        <v>28.181264385201995</v>
      </c>
      <c r="J324" s="66">
        <v>30.872234632019286</v>
      </c>
      <c r="K324" s="66">
        <v>28.322418321043671</v>
      </c>
      <c r="L324" s="66">
        <v>33.182044583096989</v>
      </c>
      <c r="M324" s="66">
        <v>21.703549461145776</v>
      </c>
      <c r="N324" s="66">
        <v>27.064093519568921</v>
      </c>
      <c r="O324" s="81"/>
    </row>
    <row r="325" spans="1:15" x14ac:dyDescent="0.35">
      <c r="A325" s="118">
        <v>42095</v>
      </c>
      <c r="B325" s="58">
        <v>26.375641996801551</v>
      </c>
      <c r="C325" s="58">
        <v>29.309748582967263</v>
      </c>
      <c r="D325" s="58">
        <v>24.201677058240044</v>
      </c>
      <c r="E325" s="58">
        <v>30.20361088281139</v>
      </c>
      <c r="F325" s="58">
        <v>29.732575580983422</v>
      </c>
      <c r="G325" s="87"/>
      <c r="H325" s="58">
        <v>39.057869349581978</v>
      </c>
      <c r="I325" s="66">
        <v>30.274584218978784</v>
      </c>
      <c r="J325" s="66">
        <v>30.714819771149209</v>
      </c>
      <c r="K325" s="66">
        <v>28.283313447640637</v>
      </c>
      <c r="L325" s="66">
        <v>28.15957880119031</v>
      </c>
      <c r="M325" s="66">
        <v>21.233652486892446</v>
      </c>
      <c r="N325" s="66">
        <v>26.279655820461954</v>
      </c>
      <c r="O325" s="81"/>
    </row>
    <row r="326" spans="1:15" x14ac:dyDescent="0.35">
      <c r="A326" s="118">
        <v>42125</v>
      </c>
      <c r="B326" s="58">
        <v>26.579126863552464</v>
      </c>
      <c r="C326" s="58">
        <v>29.239879454777796</v>
      </c>
      <c r="D326" s="58">
        <v>24.098508430356382</v>
      </c>
      <c r="E326" s="58">
        <v>30.102197658825943</v>
      </c>
      <c r="F326" s="58">
        <v>29.555868983387761</v>
      </c>
      <c r="G326" s="87"/>
      <c r="H326" s="58">
        <v>36.866900592787161</v>
      </c>
      <c r="I326" s="66">
        <v>32.064776641898185</v>
      </c>
      <c r="J326" s="66">
        <v>30.609502857447112</v>
      </c>
      <c r="K326" s="66">
        <v>29.231828766150784</v>
      </c>
      <c r="L326" s="66">
        <v>27.058142836859293</v>
      </c>
      <c r="M326" s="66">
        <v>20.408274030952718</v>
      </c>
      <c r="N326" s="66">
        <v>26.650576725117133</v>
      </c>
      <c r="O326" s="81"/>
    </row>
    <row r="327" spans="1:15" x14ac:dyDescent="0.35">
      <c r="A327" s="118">
        <v>42156</v>
      </c>
      <c r="B327" s="58">
        <v>25.143569544198897</v>
      </c>
      <c r="C327" s="58">
        <v>27.986451174033149</v>
      </c>
      <c r="D327" s="58">
        <v>23.397116091160225</v>
      </c>
      <c r="E327" s="58">
        <v>28.341920150399016</v>
      </c>
      <c r="F327" s="58">
        <v>28.333979747928179</v>
      </c>
      <c r="G327" s="87"/>
      <c r="H327" s="58">
        <v>28.31342171961326</v>
      </c>
      <c r="I327" s="66">
        <v>26.782120541743399</v>
      </c>
      <c r="J327" s="66">
        <v>29.608577503453038</v>
      </c>
      <c r="K327" s="66">
        <v>26.852170119705338</v>
      </c>
      <c r="L327" s="66">
        <v>25.382434254143647</v>
      </c>
      <c r="M327" s="66">
        <v>19.408467016574583</v>
      </c>
      <c r="N327" s="66">
        <v>25.220906888812156</v>
      </c>
      <c r="O327" s="81"/>
    </row>
    <row r="328" spans="1:15" x14ac:dyDescent="0.35">
      <c r="A328" s="118">
        <v>42186</v>
      </c>
      <c r="B328" s="58">
        <v>26.630313529029458</v>
      </c>
      <c r="C328" s="58">
        <v>27.640637889948007</v>
      </c>
      <c r="D328" s="58">
        <v>24.976124909734256</v>
      </c>
      <c r="E328" s="58">
        <v>30.825041971564286</v>
      </c>
      <c r="F328" s="58">
        <v>30.10554271374928</v>
      </c>
      <c r="G328" s="87"/>
      <c r="H328" s="58">
        <v>32.152805856441361</v>
      </c>
      <c r="I328" s="66">
        <v>32.176690593106109</v>
      </c>
      <c r="J328" s="66">
        <v>31.54272143991912</v>
      </c>
      <c r="K328" s="66">
        <v>28.213189148854223</v>
      </c>
      <c r="L328" s="66">
        <v>31.761778596187174</v>
      </c>
      <c r="M328" s="66">
        <v>20.175907019064123</v>
      </c>
      <c r="N328" s="66">
        <v>28.182138991190065</v>
      </c>
      <c r="O328" s="81"/>
    </row>
    <row r="329" spans="1:15" x14ac:dyDescent="0.35">
      <c r="A329" s="118">
        <v>42217</v>
      </c>
      <c r="B329" s="58">
        <v>26.806241310160427</v>
      </c>
      <c r="C329" s="58">
        <v>28.278262863130507</v>
      </c>
      <c r="D329" s="58">
        <v>25.284025563665267</v>
      </c>
      <c r="E329" s="58">
        <v>31.125332153008621</v>
      </c>
      <c r="F329" s="58">
        <v>29.758479386472036</v>
      </c>
      <c r="G329" s="87"/>
      <c r="H329" s="58">
        <v>32.571402966469144</v>
      </c>
      <c r="I329" s="66">
        <v>28.90085297329415</v>
      </c>
      <c r="J329" s="66">
        <v>31.382107891313776</v>
      </c>
      <c r="K329" s="66">
        <v>27.638372259960494</v>
      </c>
      <c r="L329" s="66">
        <v>31.764813007660063</v>
      </c>
      <c r="M329" s="66">
        <v>20.068951293539527</v>
      </c>
      <c r="N329" s="66">
        <v>27.632908946379533</v>
      </c>
      <c r="O329" s="81"/>
    </row>
    <row r="330" spans="1:15" ht="15" thickBot="1" x14ac:dyDescent="0.4">
      <c r="A330" s="119">
        <v>42248</v>
      </c>
      <c r="B330" s="60">
        <v>26.421409739274882</v>
      </c>
      <c r="C330" s="60">
        <v>28.28366452405027</v>
      </c>
      <c r="D330" s="60">
        <v>24.693270059945114</v>
      </c>
      <c r="E330" s="60">
        <v>31.122491132617526</v>
      </c>
      <c r="F330" s="60">
        <v>29.482510237613752</v>
      </c>
      <c r="G330" s="88"/>
      <c r="H330" s="60">
        <v>31.780895059945109</v>
      </c>
      <c r="I330" s="72">
        <v>28.763703323864092</v>
      </c>
      <c r="J330" s="72">
        <v>31.317122977755307</v>
      </c>
      <c r="K330" s="72">
        <v>27.474196254032449</v>
      </c>
      <c r="L330" s="72">
        <v>29.724326939188209</v>
      </c>
      <c r="M330" s="72">
        <v>19.417734652607248</v>
      </c>
      <c r="N330" s="72">
        <v>28.35430530478116</v>
      </c>
      <c r="O330" s="81"/>
    </row>
    <row r="331" spans="1:15" x14ac:dyDescent="0.35">
      <c r="A331" s="118">
        <v>42278</v>
      </c>
      <c r="B331" s="58">
        <v>25.666757003001287</v>
      </c>
      <c r="C331" s="58">
        <v>25.995966396312703</v>
      </c>
      <c r="D331" s="58">
        <v>24.083513059168212</v>
      </c>
      <c r="E331" s="58">
        <v>29.488737371571947</v>
      </c>
      <c r="F331" s="58">
        <v>26.843807203087035</v>
      </c>
      <c r="G331" s="87"/>
      <c r="H331" s="58">
        <v>28.158618872373879</v>
      </c>
      <c r="I331" s="66">
        <v>28.228625109173773</v>
      </c>
      <c r="J331" s="66">
        <v>30.022450514506215</v>
      </c>
      <c r="K331" s="66">
        <v>24.426228478871895</v>
      </c>
      <c r="L331" s="66">
        <v>25.892442704016002</v>
      </c>
      <c r="M331" s="66">
        <v>16.150275746748605</v>
      </c>
      <c r="N331" s="66">
        <v>28.670159621980851</v>
      </c>
      <c r="O331" s="80"/>
    </row>
    <row r="332" spans="1:15" x14ac:dyDescent="0.35">
      <c r="A332" s="118">
        <v>42309</v>
      </c>
      <c r="B332" s="58">
        <v>26.052092092020128</v>
      </c>
      <c r="C332" s="58">
        <v>26.98555930984903</v>
      </c>
      <c r="D332" s="58">
        <v>24.219806002875629</v>
      </c>
      <c r="E332" s="58">
        <v>30.59261070373033</v>
      </c>
      <c r="F332" s="58">
        <v>29.305979457225014</v>
      </c>
      <c r="G332" s="87"/>
      <c r="H332" s="58">
        <v>28.872875125808768</v>
      </c>
      <c r="I332" s="66">
        <v>28.607917181883536</v>
      </c>
      <c r="J332" s="66">
        <v>30.213969949676493</v>
      </c>
      <c r="K332" s="66">
        <v>25.882247256170618</v>
      </c>
      <c r="L332" s="66">
        <v>27.31003088425593</v>
      </c>
      <c r="M332" s="66">
        <v>19.167261826024443</v>
      </c>
      <c r="N332" s="66">
        <v>26.707353468727533</v>
      </c>
      <c r="O332" s="80"/>
    </row>
    <row r="333" spans="1:15" x14ac:dyDescent="0.35">
      <c r="A333" s="118">
        <v>42339</v>
      </c>
      <c r="B333" s="58">
        <v>26.496722298369647</v>
      </c>
      <c r="C333" s="58">
        <v>27.743268954696291</v>
      </c>
      <c r="D333" s="58">
        <v>23.994425605973163</v>
      </c>
      <c r="E333" s="58">
        <v>30.680965044325816</v>
      </c>
      <c r="F333" s="58">
        <v>29.385560939979797</v>
      </c>
      <c r="G333" s="87"/>
      <c r="H333" s="58">
        <v>28.095042580435724</v>
      </c>
      <c r="I333" s="66">
        <v>30.248747062312631</v>
      </c>
      <c r="J333" s="66">
        <v>30.053317270235173</v>
      </c>
      <c r="K333" s="66">
        <v>26.181080459770111</v>
      </c>
      <c r="L333" s="66">
        <v>27.263670610301538</v>
      </c>
      <c r="M333" s="66">
        <v>18.027567739142984</v>
      </c>
      <c r="N333" s="66">
        <v>27.271851392295481</v>
      </c>
      <c r="O333" s="80"/>
    </row>
    <row r="334" spans="1:15" x14ac:dyDescent="0.35">
      <c r="A334" s="118">
        <v>42370</v>
      </c>
      <c r="B334" s="58">
        <v>25.938671454767729</v>
      </c>
      <c r="C334" s="58">
        <v>29.162913922048034</v>
      </c>
      <c r="D334" s="58">
        <v>24.270994984179492</v>
      </c>
      <c r="E334" s="58">
        <v>30.743604822858231</v>
      </c>
      <c r="F334" s="58">
        <v>29.555368348195024</v>
      </c>
      <c r="G334" s="87"/>
      <c r="H334" s="58">
        <v>31.47482726880483</v>
      </c>
      <c r="I334" s="66">
        <v>30.182729117726954</v>
      </c>
      <c r="J334" s="66">
        <v>30.285231644613834</v>
      </c>
      <c r="K334" s="66">
        <v>28.756528213241285</v>
      </c>
      <c r="L334" s="66">
        <v>28.19655860779519</v>
      </c>
      <c r="M334" s="66">
        <v>20.483656867539189</v>
      </c>
      <c r="N334" s="66">
        <v>27.488101916438946</v>
      </c>
      <c r="O334" s="80"/>
    </row>
    <row r="335" spans="1:15" x14ac:dyDescent="0.35">
      <c r="A335" s="118">
        <v>42401</v>
      </c>
      <c r="B335" s="58">
        <v>25.199541322380483</v>
      </c>
      <c r="C335" s="58">
        <v>27.795163333697651</v>
      </c>
      <c r="D335" s="58">
        <v>23.024952822450995</v>
      </c>
      <c r="E335" s="58">
        <v>29.713204885574825</v>
      </c>
      <c r="F335" s="58">
        <v>27.937611502432663</v>
      </c>
      <c r="G335" s="87"/>
      <c r="H335" s="58">
        <v>29.967047121562551</v>
      </c>
      <c r="I335" s="66">
        <v>28.817644668633168</v>
      </c>
      <c r="J335" s="66">
        <v>29.754276439148217</v>
      </c>
      <c r="K335" s="66">
        <v>27.670446055163826</v>
      </c>
      <c r="L335" s="66">
        <v>25.388871166901708</v>
      </c>
      <c r="M335" s="66">
        <v>18.045036969129889</v>
      </c>
      <c r="N335" s="66">
        <v>27.173981129530389</v>
      </c>
      <c r="O335" s="81"/>
    </row>
    <row r="336" spans="1:15" x14ac:dyDescent="0.35">
      <c r="A336" s="118">
        <v>42430</v>
      </c>
      <c r="B336" s="58">
        <v>25.678027613127078</v>
      </c>
      <c r="C336" s="58">
        <v>27.790891969061729</v>
      </c>
      <c r="D336" s="58">
        <v>23.903303527540842</v>
      </c>
      <c r="E336" s="58">
        <v>30.04356651085088</v>
      </c>
      <c r="F336" s="58">
        <v>28.507134541708833</v>
      </c>
      <c r="G336" s="87"/>
      <c r="H336" s="58">
        <v>32.147778119126791</v>
      </c>
      <c r="I336" s="66">
        <v>33.455026127254911</v>
      </c>
      <c r="J336" s="66">
        <v>30.642571366594353</v>
      </c>
      <c r="K336" s="66">
        <v>45.03033053747891</v>
      </c>
      <c r="L336" s="66">
        <v>27.49060254519161</v>
      </c>
      <c r="M336" s="66">
        <v>21.962357541576282</v>
      </c>
      <c r="N336" s="66">
        <v>27.551280404916845</v>
      </c>
      <c r="O336" s="80"/>
    </row>
    <row r="337" spans="1:15" x14ac:dyDescent="0.35">
      <c r="A337" s="118">
        <v>42461</v>
      </c>
      <c r="B337" s="58">
        <v>25.473200576812843</v>
      </c>
      <c r="C337" s="58">
        <v>27.421332527228433</v>
      </c>
      <c r="D337" s="58">
        <v>23.225434150186299</v>
      </c>
      <c r="E337" s="58">
        <v>29.926863603069965</v>
      </c>
      <c r="F337" s="58">
        <v>28.224759207509315</v>
      </c>
      <c r="G337" s="87"/>
      <c r="H337" s="58">
        <v>40.543291165090281</v>
      </c>
      <c r="I337" s="66">
        <v>30.062291614916724</v>
      </c>
      <c r="J337" s="66">
        <v>29.350165985955854</v>
      </c>
      <c r="K337" s="66">
        <v>27.782586748829655</v>
      </c>
      <c r="L337" s="66">
        <v>28.166660590427057</v>
      </c>
      <c r="M337" s="66">
        <v>20.130362367440529</v>
      </c>
      <c r="N337" s="66">
        <v>28.256246220263684</v>
      </c>
      <c r="O337" s="80"/>
    </row>
    <row r="338" spans="1:15" x14ac:dyDescent="0.35">
      <c r="A338" s="118">
        <v>42491</v>
      </c>
      <c r="B338" s="58">
        <v>26.386457558055675</v>
      </c>
      <c r="C338" s="58">
        <v>27.895376424347326</v>
      </c>
      <c r="D338" s="58">
        <v>23.644641569306213</v>
      </c>
      <c r="E338" s="58">
        <v>30.430914434988861</v>
      </c>
      <c r="F338" s="58">
        <v>29.119072822010672</v>
      </c>
      <c r="G338" s="87"/>
      <c r="H338" s="58">
        <v>41.654549203086681</v>
      </c>
      <c r="I338" s="66">
        <v>33.755442994054199</v>
      </c>
      <c r="J338" s="66">
        <v>30.325390072840044</v>
      </c>
      <c r="K338" s="66">
        <v>27.393085004086732</v>
      </c>
      <c r="L338" s="66">
        <v>29.125820020193277</v>
      </c>
      <c r="M338" s="66">
        <v>20.602268570604359</v>
      </c>
      <c r="N338" s="66">
        <v>28.257271599596134</v>
      </c>
      <c r="O338" s="81"/>
    </row>
    <row r="339" spans="1:15" x14ac:dyDescent="0.35">
      <c r="A339" s="118">
        <v>42522</v>
      </c>
      <c r="B339" s="58">
        <v>26.193454591394747</v>
      </c>
      <c r="C339" s="58">
        <v>28.032389348108573</v>
      </c>
      <c r="D339" s="58">
        <v>23.317880486572335</v>
      </c>
      <c r="E339" s="58">
        <v>30.360478703436325</v>
      </c>
      <c r="F339" s="58">
        <v>28.589084121426509</v>
      </c>
      <c r="G339" s="87"/>
      <c r="H339" s="58">
        <v>40.875255901674848</v>
      </c>
      <c r="I339" s="66">
        <v>29.665974684762734</v>
      </c>
      <c r="J339" s="66">
        <v>30.36661871931851</v>
      </c>
      <c r="K339" s="66">
        <v>27.447382279333908</v>
      </c>
      <c r="L339" s="66">
        <v>27.171763788622581</v>
      </c>
      <c r="M339" s="66">
        <v>20.548733323707769</v>
      </c>
      <c r="N339" s="66">
        <v>27.444994495379728</v>
      </c>
      <c r="O339" s="80"/>
    </row>
    <row r="340" spans="1:15" x14ac:dyDescent="0.35">
      <c r="A340" s="118">
        <v>42552</v>
      </c>
      <c r="B340" s="58">
        <v>26.131055651922519</v>
      </c>
      <c r="C340" s="58">
        <v>28.144236213501014</v>
      </c>
      <c r="D340" s="58">
        <v>22.982707628649901</v>
      </c>
      <c r="E340" s="58">
        <v>30.907137282772801</v>
      </c>
      <c r="F340" s="58">
        <v>28.981268538594975</v>
      </c>
      <c r="G340" s="87"/>
      <c r="H340" s="58">
        <v>36.734831128939</v>
      </c>
      <c r="I340" s="66">
        <v>29.351233866563874</v>
      </c>
      <c r="J340" s="66">
        <v>30.496532686470083</v>
      </c>
      <c r="K340" s="66">
        <v>27.497081478269251</v>
      </c>
      <c r="L340" s="66">
        <v>27.221144261347206</v>
      </c>
      <c r="M340" s="66">
        <v>20.590454900260191</v>
      </c>
      <c r="N340" s="66">
        <v>29.516067649609713</v>
      </c>
      <c r="O340" s="81"/>
    </row>
    <row r="341" spans="1:15" x14ac:dyDescent="0.35">
      <c r="A341" s="118">
        <v>42583</v>
      </c>
      <c r="B341" s="58">
        <v>25.395939922757833</v>
      </c>
      <c r="C341" s="58">
        <v>27.407361464740383</v>
      </c>
      <c r="D341" s="58">
        <v>22.735672722071236</v>
      </c>
      <c r="E341" s="58">
        <v>30.671415597832137</v>
      </c>
      <c r="F341" s="58">
        <v>28.377588488771277</v>
      </c>
      <c r="G341" s="87"/>
      <c r="H341" s="58">
        <v>31.230481744385639</v>
      </c>
      <c r="I341" s="66">
        <v>28.505893211907377</v>
      </c>
      <c r="J341" s="66">
        <v>29.716846481190103</v>
      </c>
      <c r="K341" s="66">
        <v>27.04779282887522</v>
      </c>
      <c r="L341" s="66">
        <v>26.774736947503936</v>
      </c>
      <c r="M341" s="66">
        <v>20.213285223859248</v>
      </c>
      <c r="N341" s="66">
        <v>26.764598734086682</v>
      </c>
      <c r="O341" s="80"/>
    </row>
    <row r="342" spans="1:15" ht="15" thickBot="1" x14ac:dyDescent="0.4">
      <c r="A342" s="119">
        <v>42614</v>
      </c>
      <c r="B342" s="60">
        <v>25.886462327536648</v>
      </c>
      <c r="C342" s="60">
        <v>27.887050930583499</v>
      </c>
      <c r="D342" s="60">
        <v>23.457030648174765</v>
      </c>
      <c r="E342" s="60">
        <v>31.364086598958831</v>
      </c>
      <c r="F342" s="60">
        <v>28.990226825237137</v>
      </c>
      <c r="G342" s="88"/>
      <c r="H342" s="60">
        <v>29.193952752227656</v>
      </c>
      <c r="I342" s="72">
        <v>28.458049431509689</v>
      </c>
      <c r="J342" s="72">
        <v>29.411939494107497</v>
      </c>
      <c r="K342" s="72">
        <v>27.249728322314841</v>
      </c>
      <c r="L342" s="72">
        <v>26.975377407300947</v>
      </c>
      <c r="M342" s="72">
        <v>20.382806409887898</v>
      </c>
      <c r="N342" s="72">
        <v>26.067778402558204</v>
      </c>
      <c r="O342" s="70"/>
    </row>
    <row r="343" spans="1:15" x14ac:dyDescent="0.35">
      <c r="A343" s="118">
        <v>42644</v>
      </c>
      <c r="B343" s="58">
        <v>25.693920505254066</v>
      </c>
      <c r="C343" s="58">
        <v>27.369158773571325</v>
      </c>
      <c r="D343" s="58">
        <v>23.654455646322155</v>
      </c>
      <c r="E343" s="58">
        <v>30.829368064552245</v>
      </c>
      <c r="F343" s="58">
        <v>28.604672502519076</v>
      </c>
      <c r="G343" s="87"/>
      <c r="H343" s="58">
        <v>29.147441539513462</v>
      </c>
      <c r="I343" s="66">
        <v>28.584834452921328</v>
      </c>
      <c r="J343" s="66">
        <v>30.305416834604866</v>
      </c>
      <c r="K343" s="66">
        <v>24.6077022695648</v>
      </c>
      <c r="L343" s="66">
        <v>27.390379818626741</v>
      </c>
      <c r="M343" s="66">
        <v>19.915674794875486</v>
      </c>
      <c r="N343" s="66">
        <v>26.594794677558657</v>
      </c>
      <c r="O343" s="89"/>
    </row>
    <row r="344" spans="1:15" x14ac:dyDescent="0.35">
      <c r="A344" s="118">
        <v>42675</v>
      </c>
      <c r="B344" s="58">
        <v>25.834775916380298</v>
      </c>
      <c r="C344" s="58">
        <v>26.950082313144332</v>
      </c>
      <c r="D344" s="58">
        <v>22.942489082187855</v>
      </c>
      <c r="E344" s="58">
        <v>30.79169323533155</v>
      </c>
      <c r="F344" s="58">
        <v>27.150005297823594</v>
      </c>
      <c r="G344" s="87"/>
      <c r="H344" s="58">
        <v>26.509642844358535</v>
      </c>
      <c r="I344" s="66">
        <v>27.942931653302789</v>
      </c>
      <c r="J344" s="66">
        <v>29.188813806557846</v>
      </c>
      <c r="K344" s="66">
        <v>24.508721601756395</v>
      </c>
      <c r="L344" s="66">
        <v>25.950061454753723</v>
      </c>
      <c r="M344" s="66">
        <v>16.063108734249717</v>
      </c>
      <c r="N344" s="66">
        <v>25.849998478665519</v>
      </c>
      <c r="O344" s="90"/>
    </row>
    <row r="345" spans="1:15" x14ac:dyDescent="0.35">
      <c r="A345" s="118">
        <v>42705</v>
      </c>
      <c r="B345" s="58">
        <v>25.646400528043387</v>
      </c>
      <c r="C345" s="58">
        <v>26.940117150706438</v>
      </c>
      <c r="D345" s="58">
        <v>22.660433780505212</v>
      </c>
      <c r="E345" s="58">
        <v>30.35462542219685</v>
      </c>
      <c r="F345" s="58">
        <v>27.241546043242469</v>
      </c>
      <c r="G345" s="87"/>
      <c r="H345" s="58">
        <v>26.374685100613672</v>
      </c>
      <c r="I345" s="66">
        <v>28.020518322946891</v>
      </c>
      <c r="J345" s="66">
        <v>29.225109997145712</v>
      </c>
      <c r="K345" s="66">
        <v>23.916050330621758</v>
      </c>
      <c r="L345" s="66">
        <v>26.035628171828172</v>
      </c>
      <c r="M345" s="66">
        <v>15.813749593263879</v>
      </c>
      <c r="N345" s="66">
        <v>25.820379620379626</v>
      </c>
      <c r="O345" s="90"/>
    </row>
    <row r="346" spans="1:15" x14ac:dyDescent="0.35">
      <c r="A346" s="118">
        <v>42736</v>
      </c>
      <c r="B346" s="58">
        <v>32.225641247492121</v>
      </c>
      <c r="C346" s="58">
        <v>35.10213221911723</v>
      </c>
      <c r="D346" s="58">
        <v>25.899798814130122</v>
      </c>
      <c r="E346" s="58">
        <v>33.147793151491982</v>
      </c>
      <c r="F346" s="58">
        <v>39.998870557466326</v>
      </c>
      <c r="G346" s="87"/>
      <c r="H346" s="58">
        <v>40.393981782029236</v>
      </c>
      <c r="I346" s="66">
        <v>33.345518048788257</v>
      </c>
      <c r="J346" s="66">
        <v>31.963588044568642</v>
      </c>
      <c r="K346" s="66">
        <v>45.55886758383491</v>
      </c>
      <c r="L346" s="66">
        <v>36.974898480940098</v>
      </c>
      <c r="M346" s="66">
        <v>26.336757294353685</v>
      </c>
      <c r="N346" s="66">
        <v>29.900680854112927</v>
      </c>
      <c r="O346" s="90"/>
    </row>
    <row r="347" spans="1:15" x14ac:dyDescent="0.35">
      <c r="A347" s="118">
        <v>42767</v>
      </c>
      <c r="B347" s="58">
        <v>36.074303925112041</v>
      </c>
      <c r="C347" s="58">
        <v>37.070280721411017</v>
      </c>
      <c r="D347" s="58">
        <v>25.674953610669366</v>
      </c>
      <c r="E347" s="58">
        <v>32.478631865131</v>
      </c>
      <c r="F347" s="58">
        <v>41.143333977880587</v>
      </c>
      <c r="G347" s="87"/>
      <c r="H347" s="58">
        <v>40.887167106404512</v>
      </c>
      <c r="I347" s="66">
        <v>34.060263055595705</v>
      </c>
      <c r="J347" s="66">
        <v>32.737986591007662</v>
      </c>
      <c r="K347" s="66">
        <v>46.868151221627876</v>
      </c>
      <c r="L347" s="66">
        <v>41.213626167413608</v>
      </c>
      <c r="M347" s="66">
        <v>30.742344195460458</v>
      </c>
      <c r="N347" s="66">
        <v>32.435709682665895</v>
      </c>
      <c r="O347" s="90"/>
    </row>
    <row r="348" spans="1:15" x14ac:dyDescent="0.35">
      <c r="A348" s="118">
        <v>42795</v>
      </c>
      <c r="B348" s="58">
        <v>30.538537980630245</v>
      </c>
      <c r="C348" s="58">
        <v>29.854159041630531</v>
      </c>
      <c r="D348" s="58">
        <v>25.139320901994793</v>
      </c>
      <c r="E348" s="58">
        <v>31.397995896373384</v>
      </c>
      <c r="F348" s="58">
        <v>35.907019478172884</v>
      </c>
      <c r="G348" s="87"/>
      <c r="H348" s="58">
        <v>37.062677327262215</v>
      </c>
      <c r="I348" s="66">
        <v>30.278765402653303</v>
      </c>
      <c r="J348" s="66">
        <v>31.913442974848223</v>
      </c>
      <c r="K348" s="66">
        <v>40.408757588898524</v>
      </c>
      <c r="L348" s="66">
        <v>33.55185435096849</v>
      </c>
      <c r="M348" s="66">
        <v>28.060430529054639</v>
      </c>
      <c r="N348" s="66">
        <v>28.487450202370628</v>
      </c>
      <c r="O348" s="66">
        <v>37.835164932061289</v>
      </c>
    </row>
    <row r="349" spans="1:15" x14ac:dyDescent="0.35">
      <c r="A349" s="118">
        <v>42826</v>
      </c>
      <c r="B349" s="58">
        <v>28.80732963797616</v>
      </c>
      <c r="C349" s="58">
        <v>29.290623636958419</v>
      </c>
      <c r="D349" s="58">
        <v>24.80289364640884</v>
      </c>
      <c r="E349" s="58">
        <v>32.155007899583218</v>
      </c>
      <c r="F349" s="58">
        <v>35.398264430066881</v>
      </c>
      <c r="G349" s="87"/>
      <c r="H349" s="58">
        <v>36.115476846466997</v>
      </c>
      <c r="I349" s="66">
        <v>29.5059934574004</v>
      </c>
      <c r="J349" s="66">
        <v>31.916280586653102</v>
      </c>
      <c r="K349" s="66">
        <v>29.178988562566634</v>
      </c>
      <c r="L349" s="66">
        <v>28.2051185228264</v>
      </c>
      <c r="M349" s="66">
        <v>26.895999767374242</v>
      </c>
      <c r="N349" s="66">
        <v>28.192134504943294</v>
      </c>
      <c r="O349" s="66">
        <v>36.876999800087233</v>
      </c>
    </row>
    <row r="350" spans="1:15" x14ac:dyDescent="0.35">
      <c r="A350" s="118">
        <v>42856</v>
      </c>
      <c r="B350" s="58">
        <v>26.530566846566206</v>
      </c>
      <c r="C350" s="58">
        <v>28.403622192842658</v>
      </c>
      <c r="D350" s="58">
        <v>24.216973811938566</v>
      </c>
      <c r="E350" s="58">
        <v>31.229749621687752</v>
      </c>
      <c r="F350" s="58">
        <v>34.465379708780063</v>
      </c>
      <c r="G350" s="87"/>
      <c r="H350" s="58">
        <v>35.408068748188931</v>
      </c>
      <c r="I350" s="66">
        <v>28.774331063459872</v>
      </c>
      <c r="J350" s="66">
        <v>31.300491234424804</v>
      </c>
      <c r="K350" s="66">
        <v>26.498733120834544</v>
      </c>
      <c r="L350" s="66">
        <v>26.064972935381046</v>
      </c>
      <c r="M350" s="66">
        <v>23.010578296146043</v>
      </c>
      <c r="N350" s="66">
        <v>27.731006374963773</v>
      </c>
      <c r="O350" s="66">
        <v>36.22753046218488</v>
      </c>
    </row>
    <row r="351" spans="1:15" x14ac:dyDescent="0.35">
      <c r="A351" s="118">
        <v>42887</v>
      </c>
      <c r="B351" s="58">
        <v>26.591594947040051</v>
      </c>
      <c r="C351" s="58">
        <v>28.167079784532792</v>
      </c>
      <c r="D351" s="58">
        <v>24.19237423824724</v>
      </c>
      <c r="E351" s="58">
        <v>31.321363142451794</v>
      </c>
      <c r="F351" s="58">
        <v>34.606822638566449</v>
      </c>
      <c r="G351" s="87"/>
      <c r="H351" s="58">
        <v>34.826896891323273</v>
      </c>
      <c r="I351" s="66">
        <v>28.606885495260201</v>
      </c>
      <c r="J351" s="66">
        <v>31.40854728308183</v>
      </c>
      <c r="K351" s="66">
        <v>25.465514074289029</v>
      </c>
      <c r="L351" s="66">
        <v>25.709035490423673</v>
      </c>
      <c r="M351" s="66">
        <v>22.301381079512481</v>
      </c>
      <c r="N351" s="66">
        <v>28.994929193267559</v>
      </c>
      <c r="O351" s="66">
        <v>35.896416624347069</v>
      </c>
    </row>
    <row r="352" spans="1:15" x14ac:dyDescent="0.35">
      <c r="A352" s="118">
        <v>42917</v>
      </c>
      <c r="B352" s="58">
        <v>27.394864957295887</v>
      </c>
      <c r="C352" s="58">
        <v>28.266967049073536</v>
      </c>
      <c r="D352" s="58">
        <v>24.35584566806601</v>
      </c>
      <c r="E352" s="58">
        <v>31.058263744129192</v>
      </c>
      <c r="F352" s="58">
        <v>34.517374040966992</v>
      </c>
      <c r="G352" s="87"/>
      <c r="H352" s="58">
        <v>35.210951704545458</v>
      </c>
      <c r="I352" s="66">
        <v>28.656961984494632</v>
      </c>
      <c r="J352" s="66">
        <v>31.613787076577879</v>
      </c>
      <c r="K352" s="66">
        <v>24.65920039567651</v>
      </c>
      <c r="L352" s="66">
        <v>24.773018268674001</v>
      </c>
      <c r="M352" s="66">
        <v>21.035086103068902</v>
      </c>
      <c r="N352" s="66">
        <v>28.424971428054434</v>
      </c>
      <c r="O352" s="66">
        <v>35.696250868558195</v>
      </c>
    </row>
    <row r="353" spans="1:15" x14ac:dyDescent="0.35">
      <c r="A353" s="118">
        <v>42948</v>
      </c>
      <c r="B353" s="58">
        <v>26.540226150251613</v>
      </c>
      <c r="C353" s="58">
        <v>28.553906524083391</v>
      </c>
      <c r="D353" s="58">
        <v>23.348501994967652</v>
      </c>
      <c r="E353" s="58">
        <v>30.811823771866766</v>
      </c>
      <c r="F353" s="58">
        <v>32.985837670740473</v>
      </c>
      <c r="G353" s="87"/>
      <c r="H353" s="58">
        <v>33.897904439252336</v>
      </c>
      <c r="I353" s="66">
        <v>28.110158582953911</v>
      </c>
      <c r="J353" s="66">
        <v>30.854964360172538</v>
      </c>
      <c r="K353" s="66">
        <v>23.613120249221183</v>
      </c>
      <c r="L353" s="66">
        <v>23.753887649173254</v>
      </c>
      <c r="M353" s="66">
        <v>18.665064615384615</v>
      </c>
      <c r="N353" s="66">
        <v>27.560314234363766</v>
      </c>
      <c r="O353" s="66">
        <v>35.675160801581598</v>
      </c>
    </row>
    <row r="354" spans="1:15" ht="15" thickBot="1" x14ac:dyDescent="0.4">
      <c r="A354" s="119">
        <v>42979</v>
      </c>
      <c r="B354" s="60">
        <v>26.487363624836981</v>
      </c>
      <c r="C354" s="60">
        <v>28.842373641501233</v>
      </c>
      <c r="D354" s="60">
        <v>23.855051948992894</v>
      </c>
      <c r="E354" s="60">
        <v>30.84214083305157</v>
      </c>
      <c r="F354" s="60">
        <v>33.549312545283286</v>
      </c>
      <c r="G354" s="88"/>
      <c r="H354" s="60">
        <v>34.189160447761196</v>
      </c>
      <c r="I354" s="72">
        <v>28.344828277705322</v>
      </c>
      <c r="J354" s="72">
        <v>30.874892098971166</v>
      </c>
      <c r="K354" s="72">
        <v>23.566110467082066</v>
      </c>
      <c r="L354" s="72">
        <v>24.513181220113022</v>
      </c>
      <c r="M354" s="72">
        <v>18.410079814519634</v>
      </c>
      <c r="N354" s="72">
        <v>27.721869529778289</v>
      </c>
      <c r="O354" s="72">
        <v>35.689670536878715</v>
      </c>
    </row>
    <row r="355" spans="1:15" x14ac:dyDescent="0.35">
      <c r="A355" s="118">
        <v>43009</v>
      </c>
      <c r="B355" s="58">
        <v>25.920723845157575</v>
      </c>
      <c r="C355" s="58">
        <v>28.493035005036699</v>
      </c>
      <c r="D355" s="58">
        <v>23.034268419916533</v>
      </c>
      <c r="E355" s="58">
        <v>30.626541476791221</v>
      </c>
      <c r="F355" s="58">
        <v>32.420858270974236</v>
      </c>
      <c r="G355" s="87"/>
      <c r="H355" s="58">
        <v>32.797219420060443</v>
      </c>
      <c r="I355" s="66">
        <v>27.594799995203143</v>
      </c>
      <c r="J355" s="66">
        <v>30.572710839689158</v>
      </c>
      <c r="K355" s="66">
        <v>23.568041684654862</v>
      </c>
      <c r="L355" s="66">
        <v>23.82044504245215</v>
      </c>
      <c r="M355" s="66">
        <v>18.048350151100877</v>
      </c>
      <c r="N355" s="66">
        <v>27.638317815513023</v>
      </c>
      <c r="O355" s="66">
        <v>35.255296301626132</v>
      </c>
    </row>
    <row r="356" spans="1:15" x14ac:dyDescent="0.35">
      <c r="A356" s="118">
        <v>43040</v>
      </c>
      <c r="B356" s="58">
        <v>26.249738070314756</v>
      </c>
      <c r="C356" s="58">
        <v>28.825474732890559</v>
      </c>
      <c r="D356" s="58">
        <v>23.112189954519202</v>
      </c>
      <c r="E356" s="58">
        <v>30.79664723906696</v>
      </c>
      <c r="F356" s="58">
        <v>32.041819719174121</v>
      </c>
      <c r="G356" s="87"/>
      <c r="H356" s="58">
        <v>33.051852331793242</v>
      </c>
      <c r="I356" s="66">
        <v>27.684341410787052</v>
      </c>
      <c r="J356" s="66">
        <v>30.887496733323708</v>
      </c>
      <c r="K356" s="66">
        <v>23.927106506882279</v>
      </c>
      <c r="L356" s="66">
        <v>24.124678573491188</v>
      </c>
      <c r="M356" s="66">
        <v>17.300255587640777</v>
      </c>
      <c r="N356" s="66">
        <v>28.49289053927231</v>
      </c>
      <c r="O356" s="66">
        <v>35.300121480652614</v>
      </c>
    </row>
    <row r="357" spans="1:15" x14ac:dyDescent="0.35">
      <c r="A357" s="118">
        <v>43070</v>
      </c>
      <c r="B357" s="58">
        <v>26.161730285113173</v>
      </c>
      <c r="C357" s="58">
        <v>29.054575486070807</v>
      </c>
      <c r="D357" s="58">
        <v>23.146507345473012</v>
      </c>
      <c r="E357" s="58">
        <v>30.728099632424069</v>
      </c>
      <c r="F357" s="58">
        <v>31.914512387550779</v>
      </c>
      <c r="G357" s="87"/>
      <c r="H357" s="58">
        <v>32.839029926001167</v>
      </c>
      <c r="I357" s="66">
        <v>27.963802476301026</v>
      </c>
      <c r="J357" s="66">
        <v>30.820311429918746</v>
      </c>
      <c r="K357" s="66">
        <v>24.146439736893019</v>
      </c>
      <c r="L357" s="66">
        <v>23.41532701683111</v>
      </c>
      <c r="M357" s="66">
        <v>17.35361825304701</v>
      </c>
      <c r="N357" s="66">
        <v>27.875018626668599</v>
      </c>
      <c r="O357" s="66">
        <v>35.324634920922804</v>
      </c>
    </row>
    <row r="358" spans="1:15" x14ac:dyDescent="0.35">
      <c r="A358" s="118">
        <v>43101</v>
      </c>
      <c r="B358" s="58">
        <v>26.04668894167996</v>
      </c>
      <c r="C358" s="58">
        <v>29.493333218482519</v>
      </c>
      <c r="D358" s="58">
        <v>24.976296133758886</v>
      </c>
      <c r="E358" s="58">
        <v>30.980961007140895</v>
      </c>
      <c r="F358" s="58">
        <v>31.286575348179312</v>
      </c>
      <c r="G358" s="87"/>
      <c r="H358" s="58">
        <v>32.423803441897583</v>
      </c>
      <c r="I358" s="66">
        <v>28.350963948933703</v>
      </c>
      <c r="J358" s="66">
        <v>30.821813053097348</v>
      </c>
      <c r="K358" s="66">
        <v>23.82535823782581</v>
      </c>
      <c r="L358" s="66">
        <v>24.393492441607428</v>
      </c>
      <c r="M358" s="66">
        <v>17.827593964891918</v>
      </c>
      <c r="N358" s="66">
        <v>30.115415493979398</v>
      </c>
      <c r="O358" s="66">
        <v>36.064784165095027</v>
      </c>
    </row>
    <row r="359" spans="1:15" x14ac:dyDescent="0.35">
      <c r="A359" s="118">
        <v>43132</v>
      </c>
      <c r="B359" s="58">
        <v>25.443476162958678</v>
      </c>
      <c r="C359" s="58">
        <v>28.586933075700664</v>
      </c>
      <c r="D359" s="58">
        <v>24.706248483097369</v>
      </c>
      <c r="E359" s="58">
        <v>30.557196804070756</v>
      </c>
      <c r="F359" s="58">
        <v>30.534442863334299</v>
      </c>
      <c r="G359" s="87"/>
      <c r="H359" s="58">
        <v>32.118458447702977</v>
      </c>
      <c r="I359" s="66">
        <v>28.204439331920767</v>
      </c>
      <c r="J359" s="66">
        <v>30.10746516541462</v>
      </c>
      <c r="K359" s="66">
        <v>23.685051622845037</v>
      </c>
      <c r="L359" s="66">
        <v>23.508663074255999</v>
      </c>
      <c r="M359" s="66">
        <v>17.461757815660214</v>
      </c>
      <c r="N359" s="66">
        <v>27.91830852715978</v>
      </c>
      <c r="O359" s="66">
        <v>36.734322865501298</v>
      </c>
    </row>
    <row r="360" spans="1:15" x14ac:dyDescent="0.35">
      <c r="A360" s="118">
        <v>43160</v>
      </c>
      <c r="B360" s="58">
        <v>28.373324310017523</v>
      </c>
      <c r="C360" s="58">
        <v>31.297176620911213</v>
      </c>
      <c r="D360" s="58">
        <v>25.807579220210279</v>
      </c>
      <c r="E360" s="58">
        <v>32.468327532775177</v>
      </c>
      <c r="F360" s="58">
        <v>30.621326865508173</v>
      </c>
      <c r="G360" s="87"/>
      <c r="H360" s="58">
        <v>37.324969845210276</v>
      </c>
      <c r="I360" s="66">
        <v>33.172582067757013</v>
      </c>
      <c r="J360" s="66">
        <v>32.352868428738319</v>
      </c>
      <c r="K360" s="66">
        <v>45.211608644859815</v>
      </c>
      <c r="L360" s="66">
        <v>34.197638113317751</v>
      </c>
      <c r="M360" s="66">
        <v>22.574264310747662</v>
      </c>
      <c r="N360" s="66">
        <v>31.395500857914719</v>
      </c>
      <c r="O360" s="66">
        <v>39.518117826372659</v>
      </c>
    </row>
    <row r="361" spans="1:15" x14ac:dyDescent="0.35">
      <c r="A361" s="118">
        <v>43191</v>
      </c>
      <c r="B361" s="58">
        <v>26.714454448693893</v>
      </c>
      <c r="C361" s="58">
        <v>29.69414150671092</v>
      </c>
      <c r="D361" s="58">
        <v>24.577631151681341</v>
      </c>
      <c r="E361" s="58">
        <v>30.847964713522874</v>
      </c>
      <c r="F361" s="58">
        <v>31.791071980083707</v>
      </c>
      <c r="G361" s="87"/>
      <c r="H361" s="58">
        <v>34.237831829989894</v>
      </c>
      <c r="I361" s="66">
        <v>29.812797084716408</v>
      </c>
      <c r="J361" s="66">
        <v>31.523074036657526</v>
      </c>
      <c r="K361" s="66">
        <v>28.833547601866552</v>
      </c>
      <c r="L361" s="66">
        <v>25.920894126136528</v>
      </c>
      <c r="M361" s="66">
        <v>19.953746023957279</v>
      </c>
      <c r="N361" s="66">
        <v>28.649767841679896</v>
      </c>
      <c r="O361" s="66">
        <v>37.934566820609035</v>
      </c>
    </row>
    <row r="362" spans="1:15" x14ac:dyDescent="0.35">
      <c r="A362" s="118">
        <v>43221</v>
      </c>
      <c r="B362" s="58">
        <v>26.38653683504856</v>
      </c>
      <c r="C362" s="58">
        <v>28.773049789824611</v>
      </c>
      <c r="D362" s="58">
        <v>24.633893227279312</v>
      </c>
      <c r="E362" s="58">
        <v>31.047354286450528</v>
      </c>
      <c r="F362" s="58">
        <v>31.661932453978835</v>
      </c>
      <c r="G362" s="87"/>
      <c r="H362" s="58">
        <v>33.730997064791993</v>
      </c>
      <c r="I362" s="66">
        <v>29.036962257009868</v>
      </c>
      <c r="J362" s="66">
        <v>31.532487498188146</v>
      </c>
      <c r="K362" s="66">
        <v>27.714203749335653</v>
      </c>
      <c r="L362" s="66">
        <v>26.572896477750398</v>
      </c>
      <c r="M362" s="66">
        <v>19.179329352080014</v>
      </c>
      <c r="N362" s="66">
        <v>28.436081968401211</v>
      </c>
      <c r="O362" s="66">
        <v>37.10272996086389</v>
      </c>
    </row>
    <row r="363" spans="1:15" x14ac:dyDescent="0.35">
      <c r="A363" s="118">
        <v>43252</v>
      </c>
      <c r="B363" s="58">
        <v>25.772541570062309</v>
      </c>
      <c r="C363" s="58">
        <v>29.458599550789739</v>
      </c>
      <c r="D363" s="58">
        <v>24.406574137806118</v>
      </c>
      <c r="E363" s="58">
        <v>31.325992287752179</v>
      </c>
      <c r="F363" s="58">
        <v>31.454144453702362</v>
      </c>
      <c r="G363" s="87"/>
      <c r="H363" s="58">
        <v>36.982717903202435</v>
      </c>
      <c r="I363" s="66">
        <v>28.330221441337002</v>
      </c>
      <c r="J363" s="66">
        <v>31.723229767425007</v>
      </c>
      <c r="K363" s="66">
        <v>25.968022122397716</v>
      </c>
      <c r="L363" s="66">
        <v>25.900100333285032</v>
      </c>
      <c r="M363" s="66">
        <v>18.756809592812637</v>
      </c>
      <c r="N363" s="66">
        <v>27.815330459353717</v>
      </c>
      <c r="O363" s="66">
        <v>36.571900630343428</v>
      </c>
    </row>
    <row r="364" spans="1:15" x14ac:dyDescent="0.35">
      <c r="A364" s="118">
        <v>43282</v>
      </c>
      <c r="B364" s="58">
        <v>25.773816387040785</v>
      </c>
      <c r="C364" s="58">
        <v>29.456019019380964</v>
      </c>
      <c r="D364" s="58">
        <v>23.570850502603413</v>
      </c>
      <c r="E364" s="58">
        <v>31.372295222254365</v>
      </c>
      <c r="F364" s="58">
        <v>30.675902408157363</v>
      </c>
      <c r="G364" s="87"/>
      <c r="H364" s="58">
        <v>34.597981269887185</v>
      </c>
      <c r="I364" s="66">
        <v>28.142508726255905</v>
      </c>
      <c r="J364" s="66">
        <v>31.514444098929708</v>
      </c>
      <c r="K364" s="66">
        <v>24.796542859897794</v>
      </c>
      <c r="L364" s="66">
        <v>25.408876482499274</v>
      </c>
      <c r="M364" s="66">
        <v>17.390039658663586</v>
      </c>
      <c r="N364" s="66">
        <v>28.736390331212036</v>
      </c>
      <c r="O364" s="66">
        <v>35.688700535146076</v>
      </c>
    </row>
    <row r="365" spans="1:15" x14ac:dyDescent="0.35">
      <c r="A365" s="118">
        <v>43313</v>
      </c>
      <c r="B365" s="58">
        <v>25.644850309976931</v>
      </c>
      <c r="C365" s="58">
        <v>28.850426957179931</v>
      </c>
      <c r="D365" s="58">
        <v>23.111657926038063</v>
      </c>
      <c r="E365" s="58">
        <v>31.456512062668203</v>
      </c>
      <c r="F365" s="58">
        <v>30.523212730680505</v>
      </c>
      <c r="G365" s="87"/>
      <c r="H365" s="58">
        <v>33.736964262543253</v>
      </c>
      <c r="I365" s="66">
        <v>27.860471132897597</v>
      </c>
      <c r="J365" s="66">
        <v>32.632332972895043</v>
      </c>
      <c r="K365" s="66">
        <v>24.941128988850441</v>
      </c>
      <c r="L365" s="66">
        <v>24.875184919261823</v>
      </c>
      <c r="M365" s="66">
        <v>17.498169002306806</v>
      </c>
      <c r="N365" s="66">
        <v>27.911337081891581</v>
      </c>
      <c r="O365" s="66">
        <v>34.942759749855824</v>
      </c>
    </row>
    <row r="366" spans="1:15" ht="15" thickBot="1" x14ac:dyDescent="0.4">
      <c r="A366" s="119">
        <v>43344</v>
      </c>
      <c r="B366" s="60">
        <v>25.535183155849758</v>
      </c>
      <c r="C366" s="60">
        <v>28.638887699669016</v>
      </c>
      <c r="D366" s="60">
        <v>23.030188624262482</v>
      </c>
      <c r="E366" s="60">
        <v>30.801972689915416</v>
      </c>
      <c r="F366" s="60">
        <v>29.566021262052093</v>
      </c>
      <c r="G366" s="88"/>
      <c r="H366" s="60">
        <v>33.318413314865452</v>
      </c>
      <c r="I366" s="72">
        <v>28.035417925840648</v>
      </c>
      <c r="J366" s="72">
        <v>31.011288872499641</v>
      </c>
      <c r="K366" s="72">
        <v>24.23712817191922</v>
      </c>
      <c r="L366" s="72">
        <v>24.597238134983449</v>
      </c>
      <c r="M366" s="72">
        <v>17.14426743416319</v>
      </c>
      <c r="N366" s="72">
        <v>26.692825172686717</v>
      </c>
      <c r="O366" s="72">
        <v>36.248726543387534</v>
      </c>
    </row>
    <row r="367" spans="1:15" x14ac:dyDescent="0.35">
      <c r="A367" s="118">
        <v>43374</v>
      </c>
      <c r="B367" s="58">
        <v>25.063593830749355</v>
      </c>
      <c r="C367" s="58">
        <v>28.30522076873385</v>
      </c>
      <c r="D367" s="58">
        <v>22.475176087424636</v>
      </c>
      <c r="E367" s="58">
        <v>30.976052756244616</v>
      </c>
      <c r="F367" s="58">
        <v>29.017442632070054</v>
      </c>
      <c r="G367" s="87"/>
      <c r="H367" s="58">
        <v>32.898034327447604</v>
      </c>
      <c r="I367" s="66">
        <v>27.487748341149072</v>
      </c>
      <c r="J367" s="66">
        <v>30.303511825294287</v>
      </c>
      <c r="K367" s="66">
        <v>23.328824863623311</v>
      </c>
      <c r="L367" s="66">
        <v>24.398378610393337</v>
      </c>
      <c r="M367" s="66">
        <v>16.623357766293424</v>
      </c>
      <c r="N367" s="66">
        <v>25.822618845104792</v>
      </c>
      <c r="O367" s="66">
        <v>35.873086796583401</v>
      </c>
    </row>
    <row r="368" spans="1:15" x14ac:dyDescent="0.35">
      <c r="A368" s="118">
        <v>43405</v>
      </c>
      <c r="B368" s="58">
        <v>25.427285781003018</v>
      </c>
      <c r="C368" s="58">
        <v>28.435885328351777</v>
      </c>
      <c r="D368" s="58">
        <v>22.048976810604973</v>
      </c>
      <c r="E368" s="58">
        <v>30.82004147307244</v>
      </c>
      <c r="F368" s="58">
        <v>28.518382472337976</v>
      </c>
      <c r="G368" s="87"/>
      <c r="H368" s="58">
        <v>32.387600373616898</v>
      </c>
      <c r="I368" s="66">
        <v>27.608876921971547</v>
      </c>
      <c r="J368" s="66">
        <v>32.120757759735596</v>
      </c>
      <c r="K368" s="66">
        <v>23.319025434688893</v>
      </c>
      <c r="L368" s="66">
        <v>25.241921827848827</v>
      </c>
      <c r="M368" s="66">
        <v>16.839842333668635</v>
      </c>
      <c r="N368" s="66">
        <v>27.716836147434975</v>
      </c>
      <c r="O368" s="66">
        <v>35.980809311682719</v>
      </c>
    </row>
    <row r="369" spans="1:15" x14ac:dyDescent="0.35">
      <c r="A369" s="118">
        <v>43435</v>
      </c>
      <c r="B369" s="58">
        <v>24.203658582061067</v>
      </c>
      <c r="C369" s="58">
        <v>27.786599100381679</v>
      </c>
      <c r="D369" s="58">
        <v>20.819474546183208</v>
      </c>
      <c r="E369" s="58">
        <v>30.093495396352839</v>
      </c>
      <c r="F369" s="58">
        <v>27.268412556870231</v>
      </c>
      <c r="G369" s="87"/>
      <c r="H369" s="58">
        <v>32.550543538931301</v>
      </c>
      <c r="I369" s="66">
        <v>29.708601890670057</v>
      </c>
      <c r="J369" s="66">
        <v>30.296786996946565</v>
      </c>
      <c r="K369" s="66">
        <v>27.237948393638675</v>
      </c>
      <c r="L369" s="66">
        <v>28.933530480763363</v>
      </c>
      <c r="M369" s="66">
        <v>17.206898016641226</v>
      </c>
      <c r="N369" s="66">
        <v>27.337622403435113</v>
      </c>
      <c r="O369" s="66">
        <v>36.174300120610688</v>
      </c>
    </row>
    <row r="370" spans="1:15" x14ac:dyDescent="0.35">
      <c r="A370" s="118">
        <v>43466</v>
      </c>
      <c r="B370" s="58">
        <v>28.790291481268834</v>
      </c>
      <c r="C370" s="58">
        <v>33.880929560786562</v>
      </c>
      <c r="D370" s="58">
        <v>25.164585223195065</v>
      </c>
      <c r="E370" s="58">
        <v>32.360158517136341</v>
      </c>
      <c r="F370" s="58">
        <v>34.702919082819008</v>
      </c>
      <c r="G370" s="87"/>
      <c r="H370" s="58">
        <v>35.510666212142958</v>
      </c>
      <c r="I370" s="66">
        <v>32.224064542366392</v>
      </c>
      <c r="J370" s="66">
        <v>34.393655698291951</v>
      </c>
      <c r="K370" s="66">
        <v>44.939130185158604</v>
      </c>
      <c r="L370" s="66">
        <v>36.535304636141817</v>
      </c>
      <c r="M370" s="66">
        <v>23.912475441366439</v>
      </c>
      <c r="N370" s="66">
        <v>30.546175039471795</v>
      </c>
      <c r="O370" s="66">
        <v>38.260465318645046</v>
      </c>
    </row>
    <row r="371" spans="1:15" x14ac:dyDescent="0.35">
      <c r="A371" s="118">
        <v>43497</v>
      </c>
      <c r="B371" s="58">
        <v>33.981760304659495</v>
      </c>
      <c r="C371" s="58">
        <v>36.428642168458786</v>
      </c>
      <c r="D371" s="58">
        <v>25.358737258064515</v>
      </c>
      <c r="E371" s="58">
        <v>32.309295324571885</v>
      </c>
      <c r="F371" s="58">
        <v>40.383486111111111</v>
      </c>
      <c r="G371" s="87"/>
      <c r="H371" s="58">
        <v>35.827083172043011</v>
      </c>
      <c r="I371" s="66">
        <v>34.884437514934284</v>
      </c>
      <c r="J371" s="66">
        <v>35.049730752688177</v>
      </c>
      <c r="K371" s="66">
        <v>45.040487598566301</v>
      </c>
      <c r="L371" s="66">
        <v>37.781133763440856</v>
      </c>
      <c r="M371" s="66">
        <v>27.200198767025086</v>
      </c>
      <c r="N371" s="66">
        <v>33.248102204301077</v>
      </c>
      <c r="O371" s="66">
        <v>40.372308494623653</v>
      </c>
    </row>
    <row r="372" spans="1:15" x14ac:dyDescent="0.35">
      <c r="A372" s="118">
        <v>43525</v>
      </c>
      <c r="B372" s="58">
        <v>32.622199165100476</v>
      </c>
      <c r="C372" s="58">
        <v>33.590509939280032</v>
      </c>
      <c r="D372" s="58">
        <v>25.507932810466965</v>
      </c>
      <c r="E372" s="58">
        <v>32.34018790259104</v>
      </c>
      <c r="F372" s="58">
        <v>36.080451930027472</v>
      </c>
      <c r="G372" s="87"/>
      <c r="H372" s="58">
        <v>36.478022914558331</v>
      </c>
      <c r="I372" s="66">
        <v>30.962123985992637</v>
      </c>
      <c r="J372" s="66">
        <v>33.868194827960096</v>
      </c>
      <c r="K372" s="66">
        <v>44.884394968917157</v>
      </c>
      <c r="L372" s="66">
        <v>34.21965577562527</v>
      </c>
      <c r="M372" s="66">
        <v>27.050262310250105</v>
      </c>
      <c r="N372" s="66">
        <v>31.35775948749458</v>
      </c>
      <c r="O372" s="66">
        <v>39.445459953737171</v>
      </c>
    </row>
    <row r="373" spans="1:15" x14ac:dyDescent="0.35">
      <c r="A373" s="118">
        <v>43556</v>
      </c>
      <c r="B373" s="58">
        <v>29.265877002742499</v>
      </c>
      <c r="C373" s="58">
        <v>30.412705470554272</v>
      </c>
      <c r="D373" s="58">
        <v>24.874986919024245</v>
      </c>
      <c r="E373" s="58">
        <v>31.478486391775725</v>
      </c>
      <c r="F373" s="58">
        <v>34.187725137124716</v>
      </c>
      <c r="G373" s="87"/>
      <c r="H373" s="58">
        <v>34.174425609844107</v>
      </c>
      <c r="I373" s="66">
        <v>29.198242654606108</v>
      </c>
      <c r="J373" s="66">
        <v>32.310445709439954</v>
      </c>
      <c r="K373" s="66">
        <v>30.809645207852196</v>
      </c>
      <c r="L373" s="66">
        <v>28.493481379907621</v>
      </c>
      <c r="M373" s="66">
        <v>25.484923700923787</v>
      </c>
      <c r="N373" s="66">
        <v>29.736475660363741</v>
      </c>
      <c r="O373" s="66">
        <v>38.961232390300225</v>
      </c>
    </row>
    <row r="374" spans="1:15" x14ac:dyDescent="0.35">
      <c r="A374" s="118">
        <v>43586</v>
      </c>
      <c r="B374" s="58">
        <v>34.783908037010157</v>
      </c>
      <c r="C374" s="58">
        <v>29.323659343251091</v>
      </c>
      <c r="D374" s="58">
        <v>24.076348004354138</v>
      </c>
      <c r="E374" s="58">
        <v>32.637504071923878</v>
      </c>
      <c r="F374" s="58">
        <v>33.889982619738745</v>
      </c>
      <c r="G374" s="87"/>
      <c r="H374" s="58">
        <v>34.904263933236578</v>
      </c>
      <c r="I374" s="66">
        <v>28.430876906950491</v>
      </c>
      <c r="J374" s="66">
        <v>33.785056966618285</v>
      </c>
      <c r="K374" s="66">
        <v>28.475681761006289</v>
      </c>
      <c r="L374" s="66">
        <v>35.143741306240926</v>
      </c>
      <c r="M374" s="66">
        <v>24.542547082728596</v>
      </c>
      <c r="N374" s="66">
        <v>30.756614586357038</v>
      </c>
      <c r="O374" s="66">
        <v>39.364632873730038</v>
      </c>
    </row>
    <row r="375" spans="1:15" x14ac:dyDescent="0.35">
      <c r="A375" s="118">
        <v>43617</v>
      </c>
      <c r="B375" s="58">
        <v>29.568242438427195</v>
      </c>
      <c r="C375" s="58">
        <v>27.838955854817804</v>
      </c>
      <c r="D375" s="58">
        <v>24.470215756877433</v>
      </c>
      <c r="E375" s="58">
        <v>31.252612487397382</v>
      </c>
      <c r="F375" s="58">
        <v>32.065193432233905</v>
      </c>
      <c r="G375" s="87"/>
      <c r="H375" s="58">
        <v>33.108482032262714</v>
      </c>
      <c r="I375" s="66">
        <v>28.072158873045591</v>
      </c>
      <c r="J375" s="66">
        <v>32.929836724038601</v>
      </c>
      <c r="K375" s="66">
        <v>26.125322002976617</v>
      </c>
      <c r="L375" s="66">
        <v>28.813236324355465</v>
      </c>
      <c r="M375" s="66">
        <v>22.580454644966153</v>
      </c>
      <c r="N375" s="66">
        <v>27.317311554803396</v>
      </c>
      <c r="O375" s="66">
        <v>38.579111785251328</v>
      </c>
    </row>
    <row r="376" spans="1:15" x14ac:dyDescent="0.35">
      <c r="A376" s="118">
        <v>43647</v>
      </c>
      <c r="B376" s="58">
        <v>28.030447236633517</v>
      </c>
      <c r="C376" s="58">
        <v>27.566723104914253</v>
      </c>
      <c r="D376" s="58">
        <v>25.015218961665944</v>
      </c>
      <c r="E376" s="58">
        <v>31.474784895357956</v>
      </c>
      <c r="F376" s="58">
        <v>31.999680663640294</v>
      </c>
      <c r="G376" s="87"/>
      <c r="H376" s="58">
        <v>32.989435473411156</v>
      </c>
      <c r="I376" s="66">
        <v>27.969275600070453</v>
      </c>
      <c r="J376" s="66">
        <v>33.285646923187777</v>
      </c>
      <c r="K376" s="66">
        <v>25.855165681894601</v>
      </c>
      <c r="L376" s="66">
        <v>26.325290704712494</v>
      </c>
      <c r="M376" s="66">
        <v>20.892976999567658</v>
      </c>
      <c r="N376" s="66">
        <v>26.263392725897106</v>
      </c>
      <c r="O376" s="66">
        <v>37.576627269779507</v>
      </c>
    </row>
    <row r="377" spans="1:15" x14ac:dyDescent="0.35">
      <c r="A377" s="118">
        <v>43678</v>
      </c>
      <c r="B377" s="58">
        <v>26.424762565085338</v>
      </c>
      <c r="C377" s="58">
        <v>27.768684516922185</v>
      </c>
      <c r="D377" s="58">
        <v>24.984480076656055</v>
      </c>
      <c r="E377" s="58">
        <v>31.3886970157169</v>
      </c>
      <c r="F377" s="58">
        <v>35.037754357101534</v>
      </c>
      <c r="G377" s="87"/>
      <c r="H377" s="58">
        <v>33.218180394851025</v>
      </c>
      <c r="I377" s="66">
        <v>28.233174195673836</v>
      </c>
      <c r="J377" s="66">
        <v>32.842989369395426</v>
      </c>
      <c r="K377" s="66">
        <v>25.263993973580174</v>
      </c>
      <c r="L377" s="66">
        <v>33.575329447497829</v>
      </c>
      <c r="M377" s="66">
        <v>20.57034741105004</v>
      </c>
      <c r="N377" s="66">
        <v>26.241267500723168</v>
      </c>
      <c r="O377" s="66">
        <v>37.352457459502453</v>
      </c>
    </row>
    <row r="378" spans="1:15" ht="15" thickBot="1" x14ac:dyDescent="0.4">
      <c r="A378" s="119">
        <v>43709</v>
      </c>
      <c r="B378" s="60">
        <v>26.709349981765129</v>
      </c>
      <c r="C378" s="60">
        <v>28.694505342815461</v>
      </c>
      <c r="D378" s="60">
        <v>24.936151312910283</v>
      </c>
      <c r="E378" s="60">
        <v>31.519560637004613</v>
      </c>
      <c r="F378" s="60">
        <v>33.634647173595916</v>
      </c>
      <c r="G378" s="88"/>
      <c r="H378" s="60">
        <v>36.800556400437635</v>
      </c>
      <c r="I378" s="72">
        <v>28.429703079666098</v>
      </c>
      <c r="J378" s="72">
        <v>33.580882549234133</v>
      </c>
      <c r="K378" s="72">
        <v>25.355928956965723</v>
      </c>
      <c r="L378" s="72">
        <v>32.643103428154632</v>
      </c>
      <c r="M378" s="72">
        <v>19.380611320204231</v>
      </c>
      <c r="N378" s="72">
        <v>25.136734719183078</v>
      </c>
      <c r="O378" s="72">
        <v>37.078684938001459</v>
      </c>
    </row>
    <row r="379" spans="1:15" x14ac:dyDescent="0.35">
      <c r="A379" s="118">
        <v>43755</v>
      </c>
      <c r="B379" s="58">
        <v>26.568561938568532</v>
      </c>
      <c r="C379" s="58">
        <v>28.132522076934222</v>
      </c>
      <c r="D379" s="58">
        <v>23.928416491596639</v>
      </c>
      <c r="E379" s="58">
        <v>31.384924772207732</v>
      </c>
      <c r="F379" s="58">
        <v>32.638534609533465</v>
      </c>
      <c r="G379" s="87"/>
      <c r="H379" s="58">
        <v>36.080684566067802</v>
      </c>
      <c r="I379" s="66">
        <v>27.987045373321738</v>
      </c>
      <c r="J379" s="66">
        <v>31.829341839321934</v>
      </c>
      <c r="K379" s="66">
        <v>24.628416159567276</v>
      </c>
      <c r="L379" s="66">
        <v>26.433011880614316</v>
      </c>
      <c r="M379" s="66">
        <v>18.603969139379888</v>
      </c>
      <c r="N379" s="66">
        <v>24.5681716893654</v>
      </c>
      <c r="O379" s="66">
        <v>37.244155896841498</v>
      </c>
    </row>
    <row r="380" spans="1:15" x14ac:dyDescent="0.35">
      <c r="A380" s="118">
        <v>43792</v>
      </c>
      <c r="B380" s="58">
        <v>25.679680511641273</v>
      </c>
      <c r="C380" s="58">
        <v>27.361438038947973</v>
      </c>
      <c r="D380" s="58">
        <v>22.935492275079046</v>
      </c>
      <c r="E380" s="58">
        <v>30.296562741528533</v>
      </c>
      <c r="F380" s="58">
        <v>31.089622502874391</v>
      </c>
      <c r="G380" s="87"/>
      <c r="H380" s="58">
        <v>32.616548325668298</v>
      </c>
      <c r="I380" s="66">
        <v>27.285040816326529</v>
      </c>
      <c r="J380" s="66">
        <v>33.12790040241449</v>
      </c>
      <c r="K380" s="66">
        <v>23.593527019258403</v>
      </c>
      <c r="L380" s="66">
        <v>22.925305978729519</v>
      </c>
      <c r="M380" s="66">
        <v>17.980470278815751</v>
      </c>
      <c r="N380" s="66">
        <v>24.21285383730957</v>
      </c>
      <c r="O380" s="66">
        <v>35.777356082926126</v>
      </c>
    </row>
    <row r="381" spans="1:15" x14ac:dyDescent="0.35">
      <c r="A381" s="118">
        <v>43815</v>
      </c>
      <c r="B381" s="58">
        <v>26.056438479229552</v>
      </c>
      <c r="C381" s="58">
        <v>27.765944695989653</v>
      </c>
      <c r="D381" s="58">
        <v>22.684289744142589</v>
      </c>
      <c r="E381" s="58">
        <v>30.78899283695079</v>
      </c>
      <c r="F381" s="58">
        <v>30.703076056489866</v>
      </c>
      <c r="G381" s="87"/>
      <c r="H381" s="58">
        <v>36.156584267644099</v>
      </c>
      <c r="I381" s="66">
        <v>27.431559755961224</v>
      </c>
      <c r="J381" s="66">
        <v>33.420151789564464</v>
      </c>
      <c r="K381" s="66">
        <v>28.160550620478176</v>
      </c>
      <c r="L381" s="66">
        <v>31.232635848785396</v>
      </c>
      <c r="M381" s="66">
        <v>18.466149374730485</v>
      </c>
      <c r="N381" s="66">
        <v>26.127752802932292</v>
      </c>
      <c r="O381" s="66">
        <v>35.43936592640506</v>
      </c>
    </row>
    <row r="382" spans="1:15" x14ac:dyDescent="0.35">
      <c r="A382" s="118">
        <v>43853</v>
      </c>
      <c r="B382" s="58">
        <v>26.430008570294451</v>
      </c>
      <c r="C382" s="58">
        <v>29.248485313221707</v>
      </c>
      <c r="D382" s="58">
        <v>24.381881369081984</v>
      </c>
      <c r="E382" s="58">
        <v>32.220077126635864</v>
      </c>
      <c r="F382" s="58">
        <v>34.015854323036947</v>
      </c>
      <c r="G382" s="87"/>
      <c r="H382" s="58">
        <v>36.670644576356807</v>
      </c>
      <c r="I382" s="66">
        <v>31.188397557415968</v>
      </c>
      <c r="J382" s="66">
        <v>33.565716476616629</v>
      </c>
      <c r="K382" s="66">
        <v>30.978787913779836</v>
      </c>
      <c r="L382" s="66">
        <v>35.785714491916863</v>
      </c>
      <c r="M382" s="66">
        <v>22.733353810623555</v>
      </c>
      <c r="N382" s="66">
        <v>28.367647391021936</v>
      </c>
      <c r="O382" s="66">
        <v>39.340780438077367</v>
      </c>
    </row>
    <row r="383" spans="1:15" x14ac:dyDescent="0.35">
      <c r="A383" s="118">
        <v>43881</v>
      </c>
      <c r="B383" s="58">
        <v>27.031556419601614</v>
      </c>
      <c r="C383" s="58">
        <v>28.400384688943419</v>
      </c>
      <c r="D383" s="58">
        <v>23.879568454099307</v>
      </c>
      <c r="E383" s="58">
        <v>31.640354142609695</v>
      </c>
      <c r="F383" s="58">
        <v>33.048057953233254</v>
      </c>
      <c r="G383" s="87"/>
      <c r="H383" s="58">
        <v>34.9140839347575</v>
      </c>
      <c r="I383" s="66">
        <v>28.569413723697714</v>
      </c>
      <c r="J383" s="66">
        <v>31.976934486864899</v>
      </c>
      <c r="K383" s="66">
        <v>29.557443562355655</v>
      </c>
      <c r="L383" s="66">
        <v>35.348671564665132</v>
      </c>
      <c r="M383" s="66">
        <v>21.34365551385681</v>
      </c>
      <c r="N383" s="66">
        <v>27.452026089780599</v>
      </c>
      <c r="O383" s="66">
        <v>38.790384616772513</v>
      </c>
    </row>
    <row r="384" spans="1:15" x14ac:dyDescent="0.35">
      <c r="A384" s="118">
        <v>43910</v>
      </c>
      <c r="B384" s="58">
        <v>26.224349804092295</v>
      </c>
      <c r="C384" s="58">
        <v>28.783341387316792</v>
      </c>
      <c r="D384" s="58">
        <v>23.748669442025832</v>
      </c>
      <c r="E384" s="58">
        <v>32.096590939873266</v>
      </c>
      <c r="F384" s="58">
        <v>33.303746535335947</v>
      </c>
      <c r="G384" s="87"/>
      <c r="H384" s="58">
        <v>36.312207299375999</v>
      </c>
      <c r="I384" s="66">
        <v>34.382221149970164</v>
      </c>
      <c r="J384" s="66">
        <v>35.791769300536927</v>
      </c>
      <c r="K384" s="66">
        <v>41.428819087698926</v>
      </c>
      <c r="L384" s="66">
        <v>36.416706312581631</v>
      </c>
      <c r="M384" s="66">
        <v>21.773679233783195</v>
      </c>
      <c r="N384" s="66">
        <v>29.356234599477578</v>
      </c>
      <c r="O384" s="66">
        <v>41.109287984327381</v>
      </c>
    </row>
    <row r="385" spans="1:15" x14ac:dyDescent="0.35">
      <c r="A385" s="118">
        <v>43937</v>
      </c>
      <c r="B385" s="58">
        <v>30.856589078584886</v>
      </c>
      <c r="C385" s="58">
        <v>31.9808259569378</v>
      </c>
      <c r="D385" s="58">
        <v>25.056595530665508</v>
      </c>
      <c r="E385" s="58">
        <v>33.077773315290059</v>
      </c>
      <c r="F385" s="58">
        <v>37.665723956067851</v>
      </c>
      <c r="G385" s="87"/>
      <c r="H385" s="58">
        <v>36.42022569595477</v>
      </c>
      <c r="I385" s="66">
        <v>33.291978919981311</v>
      </c>
      <c r="J385" s="66">
        <v>35.612501576772509</v>
      </c>
      <c r="K385" s="66">
        <v>45.18016161616162</v>
      </c>
      <c r="L385" s="66">
        <v>36.180785848919825</v>
      </c>
      <c r="M385" s="66">
        <v>25.115170943888643</v>
      </c>
      <c r="N385" s="66">
        <v>30.717857836740613</v>
      </c>
      <c r="O385" s="66">
        <v>42.271601185297961</v>
      </c>
    </row>
    <row r="386" spans="1:15" x14ac:dyDescent="0.35">
      <c r="A386" s="118">
        <v>43970</v>
      </c>
      <c r="B386" s="58">
        <v>27.768387995674118</v>
      </c>
      <c r="C386" s="58">
        <v>29.959572999279018</v>
      </c>
      <c r="D386" s="58">
        <v>24.442774188896898</v>
      </c>
      <c r="E386" s="58">
        <v>31.210283593687418</v>
      </c>
      <c r="F386" s="58">
        <v>33.806410850757025</v>
      </c>
      <c r="G386" s="87"/>
      <c r="H386" s="58">
        <v>35.633761031002159</v>
      </c>
      <c r="I386" s="66">
        <v>28.581679195706165</v>
      </c>
      <c r="J386" s="66">
        <v>32.927484030281178</v>
      </c>
      <c r="K386" s="66">
        <v>29.103130353280459</v>
      </c>
      <c r="L386" s="66">
        <v>35.925237692862297</v>
      </c>
      <c r="M386" s="66">
        <v>23.667683374188897</v>
      </c>
      <c r="N386" s="66">
        <v>27.026410237923574</v>
      </c>
      <c r="O386" s="66">
        <v>39.347737851478009</v>
      </c>
    </row>
    <row r="387" spans="1:15" x14ac:dyDescent="0.35">
      <c r="A387" s="118">
        <v>44001</v>
      </c>
      <c r="B387" s="58">
        <v>26.122539771901785</v>
      </c>
      <c r="C387" s="58">
        <v>28.629929990556441</v>
      </c>
      <c r="D387" s="58">
        <v>23.926127724102862</v>
      </c>
      <c r="E387" s="58">
        <v>31.309857031010381</v>
      </c>
      <c r="F387" s="58">
        <v>33.035110834665112</v>
      </c>
      <c r="G387" s="87"/>
      <c r="H387" s="58">
        <v>34.200764110852823</v>
      </c>
      <c r="I387" s="66">
        <v>28.488857111724528</v>
      </c>
      <c r="J387" s="66">
        <v>32.810629903385149</v>
      </c>
      <c r="K387" s="66">
        <v>26.238555910697855</v>
      </c>
      <c r="L387" s="66">
        <v>31.196632602063051</v>
      </c>
      <c r="M387" s="66">
        <v>22.004859276478278</v>
      </c>
      <c r="N387" s="66">
        <v>26.64255293839895</v>
      </c>
      <c r="O387" s="66">
        <v>38.574023354641874</v>
      </c>
    </row>
    <row r="388" spans="1:15" x14ac:dyDescent="0.35">
      <c r="A388" s="118">
        <v>44029</v>
      </c>
      <c r="B388" s="58">
        <v>25.963710215827334</v>
      </c>
      <c r="C388" s="58">
        <v>28.129770000000001</v>
      </c>
      <c r="D388" s="58">
        <v>23.044016636690642</v>
      </c>
      <c r="E388" s="58">
        <v>30.550100455635491</v>
      </c>
      <c r="F388" s="58">
        <v>32.095780593525177</v>
      </c>
      <c r="G388" s="87"/>
      <c r="H388" s="58">
        <v>33.301186744604315</v>
      </c>
      <c r="I388" s="66">
        <v>28.144273852917664</v>
      </c>
      <c r="J388" s="66">
        <v>32.356849946043162</v>
      </c>
      <c r="K388" s="66">
        <v>24.856884940047962</v>
      </c>
      <c r="L388" s="66">
        <v>23.718513784172664</v>
      </c>
      <c r="M388" s="66">
        <v>21.27425197122302</v>
      </c>
      <c r="N388" s="66">
        <v>26.710205395683452</v>
      </c>
      <c r="O388" s="66">
        <v>37.487474604316546</v>
      </c>
    </row>
    <row r="389" spans="1:15" x14ac:dyDescent="0.35">
      <c r="A389" s="118">
        <v>44062</v>
      </c>
      <c r="B389" s="58">
        <v>27.156737071109927</v>
      </c>
      <c r="C389" s="58">
        <v>28.190964433389162</v>
      </c>
      <c r="D389" s="58">
        <v>24.434050531173867</v>
      </c>
      <c r="E389" s="58">
        <v>31.949927934023535</v>
      </c>
      <c r="F389" s="58">
        <v>31.940499781295678</v>
      </c>
      <c r="G389" s="87"/>
      <c r="H389" s="58">
        <v>35.804402720988122</v>
      </c>
      <c r="I389" s="66">
        <v>30.330471903143184</v>
      </c>
      <c r="J389" s="66">
        <v>33.480158113725636</v>
      </c>
      <c r="K389" s="66">
        <v>27.299799040763293</v>
      </c>
      <c r="L389" s="66">
        <v>23.952230934811201</v>
      </c>
      <c r="M389" s="66">
        <v>21.384494035359317</v>
      </c>
      <c r="N389" s="66">
        <v>26.421341158335871</v>
      </c>
      <c r="O389" s="66">
        <v>37.859330095980511</v>
      </c>
    </row>
    <row r="390" spans="1:15" ht="15" thickBot="1" x14ac:dyDescent="0.4">
      <c r="A390" s="119">
        <v>44097</v>
      </c>
      <c r="B390" s="60">
        <v>26.820587374280883</v>
      </c>
      <c r="C390" s="60">
        <v>27.342726584689139</v>
      </c>
      <c r="D390" s="60">
        <v>23.010316227601432</v>
      </c>
      <c r="E390" s="60">
        <v>31.682881395327016</v>
      </c>
      <c r="F390" s="60">
        <v>30.799606087790167</v>
      </c>
      <c r="G390" s="88"/>
      <c r="H390" s="60">
        <v>37.004136189924807</v>
      </c>
      <c r="I390" s="72">
        <v>29.048136776998383</v>
      </c>
      <c r="J390" s="72">
        <v>33.421307415929043</v>
      </c>
      <c r="K390" s="72">
        <v>24.931348310859914</v>
      </c>
      <c r="L390" s="72">
        <v>23.540281412123534</v>
      </c>
      <c r="M390" s="72">
        <v>21.395964504929349</v>
      </c>
      <c r="N390" s="72">
        <v>25.789759846472545</v>
      </c>
      <c r="O390" s="72">
        <v>37.296387410738795</v>
      </c>
    </row>
    <row r="391" spans="1:15" x14ac:dyDescent="0.35">
      <c r="A391" s="118">
        <v>44126</v>
      </c>
      <c r="B391" s="66">
        <v>26.909823695223047</v>
      </c>
      <c r="C391" s="58">
        <v>27.435575917464085</v>
      </c>
      <c r="D391" s="58">
        <v>22.736895217995148</v>
      </c>
      <c r="E391" s="58">
        <v>31.873354970257601</v>
      </c>
      <c r="F391" s="58">
        <v>30.223655883893887</v>
      </c>
      <c r="G391" s="87"/>
      <c r="H391" s="58">
        <v>37.130741022706353</v>
      </c>
      <c r="I391" s="66">
        <v>28.879249851729721</v>
      </c>
      <c r="J391" s="66">
        <v>32.815651105431925</v>
      </c>
      <c r="K391" s="66">
        <v>24.686303634331381</v>
      </c>
      <c r="L391" s="66">
        <v>26.106611558960147</v>
      </c>
      <c r="M391" s="66">
        <v>20.2064215851669</v>
      </c>
      <c r="N391" s="66">
        <v>26.676973060664068</v>
      </c>
      <c r="O391" s="66">
        <v>36.791269308112483</v>
      </c>
    </row>
    <row r="392" spans="1:15" x14ac:dyDescent="0.35">
      <c r="A392" s="118">
        <v>44154</v>
      </c>
      <c r="B392" s="66">
        <v>26.229654736379725</v>
      </c>
      <c r="C392" s="58">
        <v>27.750537038946486</v>
      </c>
      <c r="D392" s="58">
        <v>22.3128619571667</v>
      </c>
      <c r="E392" s="58">
        <v>31.778580676893245</v>
      </c>
      <c r="F392" s="58">
        <v>29.773886500298399</v>
      </c>
      <c r="G392" s="81"/>
      <c r="H392" s="58">
        <v>34.960328002685614</v>
      </c>
      <c r="I392" s="66">
        <v>29.385257429519861</v>
      </c>
      <c r="J392" s="66">
        <v>32.90879135925551</v>
      </c>
      <c r="K392" s="66">
        <v>24.663427836556746</v>
      </c>
      <c r="L392" s="66">
        <v>26.330148168136752</v>
      </c>
      <c r="M392" s="66">
        <v>19.718170570386405</v>
      </c>
      <c r="N392" s="66">
        <v>28.146383117696736</v>
      </c>
      <c r="O392" s="66">
        <v>36.60131221149858</v>
      </c>
    </row>
    <row r="393" spans="1:15" x14ac:dyDescent="0.35">
      <c r="A393" s="118">
        <v>44191</v>
      </c>
      <c r="B393" s="66">
        <v>25.873025606607825</v>
      </c>
      <c r="C393" s="58">
        <v>27.174538100826926</v>
      </c>
      <c r="D393" s="58">
        <v>21.872896810815796</v>
      </c>
      <c r="E393" s="58">
        <v>31.387500546803558</v>
      </c>
      <c r="F393" s="58">
        <v>29.977324423123605</v>
      </c>
      <c r="G393" s="81"/>
      <c r="H393" s="58">
        <v>33.732347287800934</v>
      </c>
      <c r="I393" s="66">
        <v>28.438603855570168</v>
      </c>
      <c r="J393" s="66">
        <v>32.584026000528524</v>
      </c>
      <c r="K393" s="66">
        <v>24.101318234533682</v>
      </c>
      <c r="L393" s="66">
        <v>25.659538340606911</v>
      </c>
      <c r="M393" s="66">
        <v>20.992721412182885</v>
      </c>
      <c r="N393" s="66">
        <v>27.051985135269572</v>
      </c>
      <c r="O393" s="66">
        <v>37.000834879215553</v>
      </c>
    </row>
    <row r="394" spans="1:15" x14ac:dyDescent="0.35">
      <c r="A394" s="118">
        <v>44217</v>
      </c>
      <c r="B394" s="66">
        <v>26.199016494990389</v>
      </c>
      <c r="C394" s="58">
        <v>27.582639476132918</v>
      </c>
      <c r="D394" s="58">
        <v>22.231976999898841</v>
      </c>
      <c r="E394" s="58">
        <v>31.691976581232716</v>
      </c>
      <c r="F394" s="58">
        <v>28.797139364806291</v>
      </c>
      <c r="G394" s="81"/>
      <c r="H394" s="58">
        <v>33.918627795448103</v>
      </c>
      <c r="I394" s="66">
        <v>28.587846133626677</v>
      </c>
      <c r="J394" s="66">
        <v>32.564417526039342</v>
      </c>
      <c r="K394" s="66">
        <v>23.290834622314378</v>
      </c>
      <c r="L394" s="66">
        <v>24.722253260024274</v>
      </c>
      <c r="M394" s="66">
        <v>22.02804886521141</v>
      </c>
      <c r="N394" s="66">
        <v>27.80691140310287</v>
      </c>
      <c r="O394" s="66">
        <v>37.2398131620524</v>
      </c>
    </row>
    <row r="395" spans="1:15" x14ac:dyDescent="0.35">
      <c r="A395" s="118">
        <v>44238</v>
      </c>
      <c r="B395" s="66">
        <v>26.047050817699265</v>
      </c>
      <c r="C395" s="58">
        <v>27.029925601469248</v>
      </c>
      <c r="D395" s="58">
        <v>22.462376575146667</v>
      </c>
      <c r="E395" s="58">
        <v>31.459398286597207</v>
      </c>
      <c r="F395" s="58">
        <v>29.060628240754603</v>
      </c>
      <c r="G395" s="81"/>
      <c r="H395" s="58">
        <v>33.687002690544709</v>
      </c>
      <c r="I395" s="66">
        <v>28.62815244229887</v>
      </c>
      <c r="J395" s="66">
        <v>32.863446761999292</v>
      </c>
      <c r="K395" s="66">
        <v>25.634047323770989</v>
      </c>
      <c r="L395" s="66">
        <v>25.318350884495242</v>
      </c>
      <c r="M395" s="66">
        <v>27.457635451264412</v>
      </c>
      <c r="N395" s="66">
        <v>31.889150685818322</v>
      </c>
      <c r="O395" s="66">
        <v>37.835420574661136</v>
      </c>
    </row>
    <row r="396" spans="1:15" x14ac:dyDescent="0.35">
      <c r="A396" s="118">
        <v>44263</v>
      </c>
      <c r="B396" s="66">
        <v>34.808362325394491</v>
      </c>
      <c r="C396" s="58">
        <v>27.199048693938394</v>
      </c>
      <c r="D396" s="58">
        <v>22.13025803848624</v>
      </c>
      <c r="E396" s="58">
        <v>31.516044990677049</v>
      </c>
      <c r="F396" s="58">
        <v>27.991966381094475</v>
      </c>
      <c r="G396" s="81"/>
      <c r="H396" s="58">
        <v>32.668587546763099</v>
      </c>
      <c r="I396" s="66">
        <v>28.501786717813065</v>
      </c>
      <c r="J396" s="66">
        <v>32.452894327382154</v>
      </c>
      <c r="K396" s="66">
        <v>25.320311731944162</v>
      </c>
      <c r="L396" s="66">
        <v>25.883074949783531</v>
      </c>
      <c r="M396" s="66">
        <v>29.226319850188144</v>
      </c>
      <c r="N396" s="66">
        <v>32.705353436430308</v>
      </c>
      <c r="O396" s="66">
        <v>36.419933822473695</v>
      </c>
    </row>
    <row r="397" spans="1:15" x14ac:dyDescent="0.35">
      <c r="A397" s="118">
        <v>44308</v>
      </c>
      <c r="B397" s="66">
        <v>28.311829621199166</v>
      </c>
      <c r="C397" s="58">
        <v>27.54587358646571</v>
      </c>
      <c r="D397" s="58">
        <v>22.539584943447803</v>
      </c>
      <c r="E397" s="58">
        <v>31.281287976653857</v>
      </c>
      <c r="F397" s="58">
        <v>27.514009815420792</v>
      </c>
      <c r="G397" s="81"/>
      <c r="H397" s="58">
        <v>33.465181822885896</v>
      </c>
      <c r="I397" s="66">
        <v>28.066587520122734</v>
      </c>
      <c r="J397" s="66">
        <v>32.148962972799914</v>
      </c>
      <c r="K397" s="66">
        <v>25.323579811025695</v>
      </c>
      <c r="L397" s="66">
        <v>25.7575807130528</v>
      </c>
      <c r="M397" s="66">
        <v>29.077295444070398</v>
      </c>
      <c r="N397" s="66">
        <v>30.820488826158204</v>
      </c>
      <c r="O397" s="66"/>
    </row>
    <row r="398" spans="1:15" x14ac:dyDescent="0.35">
      <c r="A398" s="118">
        <v>44336</v>
      </c>
      <c r="B398" s="66">
        <v>37.6148252366579</v>
      </c>
      <c r="C398" s="58">
        <v>26.924530051089924</v>
      </c>
      <c r="D398" s="58">
        <v>22.983226678765423</v>
      </c>
      <c r="E398" s="58">
        <v>31.095007469006678</v>
      </c>
      <c r="F398" s="58">
        <v>27.639013840289294</v>
      </c>
      <c r="G398" s="81"/>
      <c r="H398" s="58">
        <v>33.173505764859392</v>
      </c>
      <c r="I398" s="66">
        <v>29.475129604261912</v>
      </c>
      <c r="J398" s="66">
        <v>32.673489665385389</v>
      </c>
      <c r="K398" s="66">
        <v>25.339920206433334</v>
      </c>
      <c r="L398" s="66">
        <v>36.14026795507182</v>
      </c>
      <c r="M398" s="66">
        <v>37.412857949419383</v>
      </c>
      <c r="N398" s="66">
        <v>30.592540310221523</v>
      </c>
      <c r="O398" s="66">
        <v>35.987321854056241</v>
      </c>
    </row>
    <row r="399" spans="1:15" x14ac:dyDescent="0.35">
      <c r="A399" s="118">
        <v>44371</v>
      </c>
      <c r="B399" s="66">
        <v>38.576866016283127</v>
      </c>
      <c r="C399" s="58">
        <v>27.173312571171351</v>
      </c>
      <c r="D399" s="58">
        <v>21.510140032766031</v>
      </c>
      <c r="E399" s="58">
        <v>31.280198616960011</v>
      </c>
      <c r="F399" s="58">
        <v>27.091202084247925</v>
      </c>
      <c r="G399" s="81"/>
      <c r="H399" s="58">
        <v>34.598796754291421</v>
      </c>
      <c r="I399" s="66">
        <v>28.196766003536986</v>
      </c>
      <c r="J399" s="66">
        <v>32.686970491596696</v>
      </c>
      <c r="K399" s="66">
        <v>25.944514836516287</v>
      </c>
      <c r="L399" s="66">
        <v>41.46004708398543</v>
      </c>
      <c r="M399" s="66">
        <v>41.948298098765932</v>
      </c>
      <c r="N399" s="66">
        <v>27.674554200300925</v>
      </c>
      <c r="O399" s="66">
        <v>37.91017788365113</v>
      </c>
    </row>
    <row r="400" spans="1:15" x14ac:dyDescent="0.35">
      <c r="A400" s="118">
        <v>44398</v>
      </c>
      <c r="B400" s="66">
        <v>33.419837225629678</v>
      </c>
      <c r="C400" s="58">
        <v>27.11571267735939</v>
      </c>
      <c r="D400" s="58">
        <v>21.751569374914016</v>
      </c>
      <c r="E400" s="58">
        <v>31.470291883535637</v>
      </c>
      <c r="F400" s="58">
        <v>27.016444775257938</v>
      </c>
      <c r="G400" s="81"/>
      <c r="H400" s="58">
        <v>33.103650574491702</v>
      </c>
      <c r="I400" s="66">
        <v>28.532288789240667</v>
      </c>
      <c r="J400" s="66">
        <v>32.967616782723042</v>
      </c>
      <c r="K400" s="66">
        <v>25.709213142646167</v>
      </c>
      <c r="L400" s="66">
        <v>39.479591160578593</v>
      </c>
      <c r="M400" s="66">
        <v>39.633191889876592</v>
      </c>
      <c r="N400" s="66">
        <v>26.808104733810435</v>
      </c>
      <c r="O400" s="66"/>
    </row>
    <row r="401" spans="1:15" x14ac:dyDescent="0.35">
      <c r="A401" s="118">
        <v>44429</v>
      </c>
      <c r="B401" s="66">
        <v>30.376847090840574</v>
      </c>
      <c r="C401" s="58">
        <v>26.993159711802043</v>
      </c>
      <c r="D401" s="58">
        <v>21.032183467092352</v>
      </c>
      <c r="E401" s="58">
        <v>31.491534397565587</v>
      </c>
      <c r="F401" s="58">
        <v>26.873057805555838</v>
      </c>
      <c r="G401" s="81"/>
      <c r="H401" s="58">
        <v>33.539939131875883</v>
      </c>
      <c r="I401" s="66">
        <v>28.766501123416944</v>
      </c>
      <c r="J401" s="66">
        <v>32.793591571631602</v>
      </c>
      <c r="K401" s="66">
        <v>25.787647040602867</v>
      </c>
      <c r="L401" s="66">
        <v>37.07363134075662</v>
      </c>
      <c r="M401" s="66">
        <v>32.032292549589314</v>
      </c>
      <c r="N401" s="66">
        <v>25.901212788686017</v>
      </c>
      <c r="O401" s="66">
        <v>38.511912944537727</v>
      </c>
    </row>
    <row r="402" spans="1:15" ht="15" thickBot="1" x14ac:dyDescent="0.4">
      <c r="A402" s="119">
        <v>44456</v>
      </c>
      <c r="B402" s="72">
        <v>28.521395192302251</v>
      </c>
      <c r="C402" s="60">
        <v>27.061789372514159</v>
      </c>
      <c r="D402" s="60">
        <v>21.051791941581524</v>
      </c>
      <c r="E402" s="60">
        <v>31.17564909671589</v>
      </c>
      <c r="F402" s="60">
        <v>26.553194565451143</v>
      </c>
      <c r="G402" s="88"/>
      <c r="H402" s="60">
        <v>35.330437958668824</v>
      </c>
      <c r="I402" s="72">
        <v>26.574184663044257</v>
      </c>
      <c r="J402" s="72">
        <v>32.95243534016538</v>
      </c>
      <c r="K402" s="72">
        <v>24.709180943698158</v>
      </c>
      <c r="L402" s="72">
        <v>33.61469644086587</v>
      </c>
      <c r="M402" s="72">
        <v>28.718460360918471</v>
      </c>
      <c r="N402" s="72">
        <v>25.07398027117388</v>
      </c>
      <c r="O402" s="72">
        <v>38.165088052010411</v>
      </c>
    </row>
    <row r="403" spans="1:15" x14ac:dyDescent="0.35">
      <c r="A403" s="118">
        <v>44483</v>
      </c>
      <c r="B403" s="58">
        <v>27.273806002928382</v>
      </c>
      <c r="C403" s="58">
        <v>27.510333226454076</v>
      </c>
      <c r="D403" s="58">
        <v>20.863060374623203</v>
      </c>
      <c r="E403" s="58">
        <v>31.243160387369343</v>
      </c>
      <c r="F403" s="58">
        <v>28.118195935618544</v>
      </c>
      <c r="G403" s="87"/>
      <c r="H403" s="58">
        <v>36.716511999122496</v>
      </c>
      <c r="I403" s="66">
        <v>28.411914543071006</v>
      </c>
      <c r="J403" s="66">
        <v>32.286222294224153</v>
      </c>
      <c r="K403" s="66">
        <v>25.915102124782521</v>
      </c>
      <c r="L403" s="66">
        <v>25.945822068148896</v>
      </c>
      <c r="M403" s="66">
        <v>28.265504600218492</v>
      </c>
      <c r="N403" s="66">
        <v>24.428126142686622</v>
      </c>
      <c r="O403" s="66">
        <v>38.672457329417867</v>
      </c>
    </row>
    <row r="404" spans="1:15" x14ac:dyDescent="0.35">
      <c r="A404" s="118">
        <v>44518</v>
      </c>
      <c r="B404" s="58">
        <v>26.607117870296378</v>
      </c>
      <c r="C404" s="58">
        <v>27.630435132700278</v>
      </c>
      <c r="D404" s="58">
        <v>20.554226901418669</v>
      </c>
      <c r="E404" s="58">
        <v>31.29653901236766</v>
      </c>
      <c r="F404" s="58">
        <v>26.276224863291525</v>
      </c>
      <c r="G404" s="87"/>
      <c r="H404" s="58">
        <v>34.187018790018712</v>
      </c>
      <c r="I404" s="66">
        <v>28.146110777773281</v>
      </c>
      <c r="J404" s="66">
        <v>32.386715725981183</v>
      </c>
      <c r="K404" s="66">
        <v>25.356260601840983</v>
      </c>
      <c r="L404" s="66">
        <v>23.486919367206145</v>
      </c>
      <c r="M404" s="66">
        <v>24.302631905955899</v>
      </c>
      <c r="N404" s="66">
        <v>24.72960643795772</v>
      </c>
      <c r="O404" s="66">
        <v>38.226364534789099</v>
      </c>
    </row>
    <row r="405" spans="1:15" x14ac:dyDescent="0.35">
      <c r="A405" s="118">
        <v>44552</v>
      </c>
      <c r="B405" s="58">
        <v>27.303218714662151</v>
      </c>
      <c r="C405" s="58">
        <v>27.852256000359091</v>
      </c>
      <c r="D405" s="58">
        <v>20.426771817239022</v>
      </c>
      <c r="E405" s="58">
        <v>31.08738195114978</v>
      </c>
      <c r="F405" s="58">
        <v>26.402454417815591</v>
      </c>
      <c r="G405" s="87"/>
      <c r="H405" s="58">
        <v>38.020475552652741</v>
      </c>
      <c r="I405" s="66">
        <v>28.207114920628499</v>
      </c>
      <c r="J405" s="66">
        <v>32.786238393698156</v>
      </c>
      <c r="K405" s="66">
        <v>25.235341675824401</v>
      </c>
      <c r="L405" s="66">
        <v>25.004615292668415</v>
      </c>
      <c r="M405" s="66">
        <v>24.579111396253289</v>
      </c>
      <c r="N405" s="66">
        <v>25.799493827273416</v>
      </c>
      <c r="O405" s="66">
        <v>37.761888795326719</v>
      </c>
    </row>
    <row r="406" spans="1:15" x14ac:dyDescent="0.35">
      <c r="A406" s="118">
        <v>44588</v>
      </c>
      <c r="B406" s="58">
        <v>29.576576225751062</v>
      </c>
      <c r="C406" s="58">
        <v>28.766501123416951</v>
      </c>
      <c r="D406" s="58">
        <v>24.893827411804569</v>
      </c>
      <c r="E406" s="58">
        <v>32.342868998303999</v>
      </c>
      <c r="F406" s="58">
        <v>31.291092213898441</v>
      </c>
      <c r="G406" s="87"/>
      <c r="H406" s="58">
        <v>36.228751196204229</v>
      </c>
      <c r="I406" s="66">
        <v>29.407044623396725</v>
      </c>
      <c r="J406" s="66">
        <v>33.073012333102369</v>
      </c>
      <c r="K406" s="66">
        <v>31.8858826067368</v>
      </c>
      <c r="L406" s="66">
        <v>27.922356296657899</v>
      </c>
      <c r="M406" s="66">
        <v>28.504727988986438</v>
      </c>
      <c r="N406" s="66">
        <v>28.145157588041165</v>
      </c>
      <c r="O406" s="66">
        <v>39.331792284116432</v>
      </c>
    </row>
    <row r="407" spans="1:15" x14ac:dyDescent="0.35">
      <c r="A407" s="118">
        <v>44609</v>
      </c>
      <c r="B407" s="58">
        <v>28.306927502576869</v>
      </c>
      <c r="C407" s="58">
        <v>28.445412353656685</v>
      </c>
      <c r="D407" s="58">
        <v>25.135256753952557</v>
      </c>
      <c r="E407" s="58">
        <v>32.349949836313975</v>
      </c>
      <c r="F407" s="58">
        <v>30.569255246765625</v>
      </c>
      <c r="G407" s="87"/>
      <c r="H407" s="58">
        <v>35.728735096730219</v>
      </c>
      <c r="I407" s="66">
        <v>28.936441235656485</v>
      </c>
      <c r="J407" s="66">
        <v>33.397777691829347</v>
      </c>
      <c r="K407" s="66">
        <v>29.807384310884075</v>
      </c>
      <c r="L407" s="66">
        <v>25.636008171219903</v>
      </c>
      <c r="M407" s="66">
        <v>25.56541766305887</v>
      </c>
      <c r="N407" s="66">
        <v>27.770145513435665</v>
      </c>
      <c r="O407" s="66"/>
    </row>
    <row r="408" spans="1:15" x14ac:dyDescent="0.35">
      <c r="A408" s="118">
        <v>44641</v>
      </c>
      <c r="B408" s="58">
        <v>26.990708652490895</v>
      </c>
      <c r="C408" s="58">
        <v>28.358399748110966</v>
      </c>
      <c r="D408" s="58">
        <v>24.456313324764814</v>
      </c>
      <c r="E408" s="58">
        <v>32.208877755961289</v>
      </c>
      <c r="F408" s="58">
        <v>30.378072620496155</v>
      </c>
      <c r="G408" s="87"/>
      <c r="H408" s="58">
        <v>36.73612047361167</v>
      </c>
      <c r="I408" s="66">
        <v>28.853649898924402</v>
      </c>
      <c r="J408" s="66">
        <v>33.484594767777665</v>
      </c>
      <c r="K408" s="66">
        <v>29.591691091503133</v>
      </c>
      <c r="L408" s="66">
        <v>23.769281399850286</v>
      </c>
      <c r="M408" s="66">
        <v>21.433912088189356</v>
      </c>
      <c r="N408" s="66">
        <v>26.620598696507685</v>
      </c>
      <c r="O408" s="66">
        <v>35.813296642964801</v>
      </c>
    </row>
    <row r="409" spans="1:15" x14ac:dyDescent="0.35">
      <c r="A409" s="118">
        <v>44666</v>
      </c>
      <c r="B409" s="58">
        <v>27.471116277475716</v>
      </c>
      <c r="C409" s="58">
        <v>28.268936083254097</v>
      </c>
      <c r="D409" s="58">
        <v>23.962424873568683</v>
      </c>
      <c r="E409" s="58">
        <v>31.885337926889875</v>
      </c>
      <c r="F409" s="58">
        <v>30.517783001231539</v>
      </c>
      <c r="G409" s="87"/>
      <c r="H409" s="58">
        <v>37.080494306827831</v>
      </c>
      <c r="I409" s="66">
        <v>30.26654942183897</v>
      </c>
      <c r="J409" s="66">
        <v>33.466407352541474</v>
      </c>
      <c r="K409" s="66">
        <v>29.693001543030544</v>
      </c>
      <c r="L409" s="66">
        <v>22.714345472332589</v>
      </c>
      <c r="M409" s="66">
        <v>20.694672599947399</v>
      </c>
      <c r="N409" s="66">
        <v>28.708901229604994</v>
      </c>
      <c r="O409" s="66">
        <v>36.405227466606817</v>
      </c>
    </row>
    <row r="410" spans="1:15" x14ac:dyDescent="0.35">
      <c r="A410" s="118">
        <v>44693</v>
      </c>
      <c r="B410" s="58">
        <v>27.612052187866674</v>
      </c>
      <c r="C410" s="58">
        <v>27.900051656926461</v>
      </c>
      <c r="D410" s="58">
        <v>23.995514174269164</v>
      </c>
      <c r="E410" s="58">
        <v>31.685985102916586</v>
      </c>
      <c r="F410" s="58">
        <v>31.455313187745297</v>
      </c>
      <c r="G410" s="87"/>
      <c r="H410" s="58"/>
      <c r="I410" s="66">
        <v>28.665735351736462</v>
      </c>
      <c r="J410" s="66">
        <v>32.949233837889437</v>
      </c>
      <c r="K410" s="66">
        <v>28.735454372142424</v>
      </c>
      <c r="L410" s="66">
        <v>22.341784457038234</v>
      </c>
      <c r="M410" s="66">
        <v>19.571107011717579</v>
      </c>
      <c r="N410" s="66">
        <v>26.517654205439506</v>
      </c>
      <c r="O410" s="66">
        <v>36.83538837571313</v>
      </c>
    </row>
    <row r="411" spans="1:15" x14ac:dyDescent="0.35">
      <c r="A411" s="118">
        <v>44741</v>
      </c>
      <c r="B411" s="58">
        <v>28.380459281911286</v>
      </c>
      <c r="C411" s="58">
        <v>27.241942231883471</v>
      </c>
      <c r="D411" s="58">
        <v>23.442800299605498</v>
      </c>
      <c r="E411" s="58">
        <v>31.371160151395909</v>
      </c>
      <c r="F411" s="58">
        <v>30.700386919911992</v>
      </c>
      <c r="G411" s="87"/>
      <c r="H411" s="58"/>
      <c r="I411" s="66">
        <v>28.363982716541909</v>
      </c>
      <c r="J411" s="66">
        <v>32.465149623937897</v>
      </c>
      <c r="K411" s="66">
        <v>28.124323583896413</v>
      </c>
      <c r="L411" s="66">
        <v>21.308417851458625</v>
      </c>
      <c r="M411" s="66">
        <v>19.724053112733156</v>
      </c>
      <c r="N411" s="66">
        <v>25.401196689212018</v>
      </c>
      <c r="O411" s="66">
        <v>36.629499393576765</v>
      </c>
    </row>
    <row r="412" spans="1:15" x14ac:dyDescent="0.35">
      <c r="A412" s="118">
        <v>44770</v>
      </c>
      <c r="B412" s="58">
        <v>28.853513728962671</v>
      </c>
      <c r="C412" s="58">
        <v>27.071593609758747</v>
      </c>
      <c r="D412" s="58">
        <v>22.756503692484316</v>
      </c>
      <c r="E412" s="58">
        <v>31.502972674350929</v>
      </c>
      <c r="F412" s="58">
        <v>29.917273470000502</v>
      </c>
      <c r="G412" s="87"/>
      <c r="H412" s="58">
        <v>34.12329124792889</v>
      </c>
      <c r="I412" s="66">
        <v>28.691879984388688</v>
      </c>
      <c r="J412" s="66">
        <v>34.073044532050375</v>
      </c>
      <c r="K412" s="66">
        <v>27.882485731863238</v>
      </c>
      <c r="L412" s="66">
        <v>20.529961414238315</v>
      </c>
      <c r="M412" s="66">
        <v>18.794611421946183</v>
      </c>
      <c r="N412" s="66">
        <v>24.205079745372242</v>
      </c>
      <c r="O412" s="66">
        <v>36.250810730004552</v>
      </c>
    </row>
    <row r="413" spans="1:15" x14ac:dyDescent="0.35">
      <c r="A413" s="118">
        <v>44791</v>
      </c>
      <c r="B413" s="58">
        <v>30.601119017810536</v>
      </c>
      <c r="C413" s="58">
        <v>27.42822273953065</v>
      </c>
      <c r="D413" s="58">
        <v>22.707482506261375</v>
      </c>
      <c r="E413" s="58">
        <v>31.456130207515685</v>
      </c>
      <c r="F413" s="58">
        <v>28.737088411683185</v>
      </c>
      <c r="G413" s="87"/>
      <c r="H413" s="58">
        <v>33.78872165195731</v>
      </c>
      <c r="I413" s="66">
        <v>28.637411999696539</v>
      </c>
      <c r="J413" s="66">
        <v>33.216399302804469</v>
      </c>
      <c r="K413" s="66">
        <v>27.800783754825005</v>
      </c>
      <c r="L413" s="66">
        <v>19.614245655593766</v>
      </c>
      <c r="M413" s="66">
        <v>17.794579222998177</v>
      </c>
      <c r="N413" s="66">
        <v>23.877863327334104</v>
      </c>
      <c r="O413" s="66">
        <v>36.173602361703416</v>
      </c>
    </row>
    <row r="414" spans="1:15" x14ac:dyDescent="0.35">
      <c r="A414" s="118">
        <v>44825</v>
      </c>
      <c r="B414" s="58">
        <v>29.499336414416618</v>
      </c>
      <c r="C414" s="58">
        <v>27.693470179413559</v>
      </c>
      <c r="D414" s="58">
        <v>22.94196967583995</v>
      </c>
      <c r="E414" s="58">
        <v>31.747623430126243</v>
      </c>
      <c r="F414" s="58">
        <v>29.010864400030542</v>
      </c>
      <c r="G414" s="87"/>
      <c r="H414" s="58">
        <v>34.095414004321924</v>
      </c>
      <c r="I414" s="66">
        <v>28.910538498085927</v>
      </c>
      <c r="J414" s="66">
        <v>33.519362411598955</v>
      </c>
      <c r="K414" s="66">
        <v>28.068458796518016</v>
      </c>
      <c r="L414" s="66">
        <v>19.82857734172266</v>
      </c>
      <c r="M414" s="66">
        <v>17.997053990812464</v>
      </c>
      <c r="N414" s="66">
        <v>24.1199766802306</v>
      </c>
      <c r="O414" s="66">
        <v>36.495834559865607</v>
      </c>
    </row>
    <row r="415" spans="1:15" x14ac:dyDescent="0.35">
      <c r="A415" s="118">
        <v>44846</v>
      </c>
      <c r="B415" s="58">
        <v>29.387607378076719</v>
      </c>
      <c r="C415" s="58">
        <v>27.6544921157621</v>
      </c>
      <c r="D415" s="58">
        <v>23.186323826094235</v>
      </c>
      <c r="E415" s="58">
        <v>32.181581610652245</v>
      </c>
      <c r="F415" s="58">
        <v>28.346989574786299</v>
      </c>
      <c r="G415" s="87"/>
      <c r="H415" s="58">
        <v>34.462178848079297</v>
      </c>
      <c r="I415" s="66">
        <v>28.63133637928253</v>
      </c>
      <c r="J415" s="66">
        <v>33.108377509266219</v>
      </c>
      <c r="K415" s="66">
        <v>26.901687070216269</v>
      </c>
      <c r="L415" s="66">
        <v>18.990662644626155</v>
      </c>
      <c r="M415" s="66">
        <v>18.15617201292276</v>
      </c>
      <c r="N415" s="66">
        <v>23.365998842489702</v>
      </c>
      <c r="O415" s="66">
        <v>37.283326154122037</v>
      </c>
    </row>
    <row r="416" spans="1:15" x14ac:dyDescent="0.35">
      <c r="A416" s="118">
        <v>44881</v>
      </c>
      <c r="B416" s="58">
        <v>27.430391312374613</v>
      </c>
      <c r="C416" s="58">
        <v>28.15087806443961</v>
      </c>
      <c r="D416" s="58">
        <v>22.632519980637152</v>
      </c>
      <c r="E416" s="58">
        <v>32.062780794957348</v>
      </c>
      <c r="F416" s="58">
        <v>27.868139717674001</v>
      </c>
      <c r="G416" s="87"/>
      <c r="H416" s="58">
        <v>33.907331598149945</v>
      </c>
      <c r="I416" s="66">
        <v>28.775740833729103</v>
      </c>
      <c r="J416" s="66">
        <v>32.861943763398159</v>
      </c>
      <c r="K416" s="66">
        <v>27.223711234329574</v>
      </c>
      <c r="L416" s="66">
        <v>18.996852063762539</v>
      </c>
      <c r="M416" s="66">
        <v>18.933359943787103</v>
      </c>
      <c r="N416" s="66">
        <v>24.142937990990276</v>
      </c>
      <c r="O416" s="66">
        <v>40.02588862859519</v>
      </c>
    </row>
    <row r="417" spans="1:15" x14ac:dyDescent="0.35">
      <c r="A417" s="118">
        <v>44910</v>
      </c>
      <c r="B417" s="58">
        <v>34.137366525014073</v>
      </c>
      <c r="C417" s="58">
        <v>28.1136756503915</v>
      </c>
      <c r="D417" s="58">
        <v>22.429146783840839</v>
      </c>
      <c r="E417" s="58">
        <v>32.211039304274983</v>
      </c>
      <c r="F417" s="58">
        <v>27.699488773989252</v>
      </c>
      <c r="G417" s="87"/>
      <c r="H417" s="58">
        <v>35.758771737277371</v>
      </c>
      <c r="I417" s="66">
        <v>29.159890205455472</v>
      </c>
      <c r="J417" s="66">
        <v>33.017573862166067</v>
      </c>
      <c r="K417" s="66">
        <v>26.572255628331629</v>
      </c>
      <c r="L417" s="66">
        <v>19.228995127422721</v>
      </c>
      <c r="M417" s="66">
        <v>20.167488025809618</v>
      </c>
      <c r="N417" s="66">
        <v>26.097304808984131</v>
      </c>
      <c r="O417" s="66">
        <v>40.87534374936029</v>
      </c>
    </row>
    <row r="418" spans="1:15" x14ac:dyDescent="0.35">
      <c r="A418" s="118">
        <v>44945</v>
      </c>
      <c r="B418" s="58">
        <v>37.607241671288179</v>
      </c>
      <c r="C418" s="58">
        <v>33.937064101147854</v>
      </c>
      <c r="D418" s="58">
        <v>29.399344557684174</v>
      </c>
      <c r="E418" s="58">
        <v>34.803911596426602</v>
      </c>
      <c r="F418" s="58">
        <v>43.573780343726796</v>
      </c>
      <c r="G418" s="87"/>
      <c r="H418" s="58">
        <v>39.041061042184268</v>
      </c>
      <c r="I418" s="66">
        <v>33.248280776506391</v>
      </c>
      <c r="J418" s="66">
        <v>39.197318602220903</v>
      </c>
      <c r="K418" s="66">
        <v>38.566871433326462</v>
      </c>
      <c r="L418" s="66">
        <v>37.387481038852663</v>
      </c>
      <c r="M418" s="66">
        <v>28.723061837845641</v>
      </c>
      <c r="N418" s="66">
        <v>40.902401097340594</v>
      </c>
      <c r="O418" s="66">
        <v>41.567433272856476</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CCE5-D749-4990-9C15-43184E099362}">
  <dimension ref="A1:AL418"/>
  <sheetViews>
    <sheetView tabSelected="1" topLeftCell="X1" zoomScale="145" zoomScaleNormal="145" workbookViewId="0">
      <selection activeCell="A2" sqref="A2"/>
    </sheetView>
  </sheetViews>
  <sheetFormatPr defaultRowHeight="14.5" x14ac:dyDescent="0.35"/>
  <sheetData>
    <row r="1" spans="1:38" s="125" customFormat="1" ht="13" thickBot="1" x14ac:dyDescent="0.3">
      <c r="A1" s="125" t="s">
        <v>1</v>
      </c>
      <c r="B1" s="125" t="s">
        <v>28</v>
      </c>
      <c r="C1" s="125" t="s">
        <v>29</v>
      </c>
      <c r="D1" s="125" t="s">
        <v>30</v>
      </c>
      <c r="E1" s="125" t="s">
        <v>31</v>
      </c>
      <c r="F1" s="125" t="s">
        <v>32</v>
      </c>
      <c r="G1" s="125" t="s">
        <v>33</v>
      </c>
      <c r="H1" s="125" t="s">
        <v>34</v>
      </c>
      <c r="I1" s="125" t="s">
        <v>35</v>
      </c>
      <c r="J1" s="125" t="s">
        <v>36</v>
      </c>
      <c r="K1" s="125" t="s">
        <v>37</v>
      </c>
      <c r="L1" s="125" t="s">
        <v>38</v>
      </c>
      <c r="M1" s="125" t="s">
        <v>39</v>
      </c>
      <c r="N1" s="125" t="s">
        <v>40</v>
      </c>
      <c r="O1" s="125" t="s">
        <v>41</v>
      </c>
      <c r="P1" s="125" t="s">
        <v>42</v>
      </c>
      <c r="Q1" s="125" t="s">
        <v>43</v>
      </c>
      <c r="R1" s="125" t="s">
        <v>44</v>
      </c>
      <c r="S1" s="125" t="s">
        <v>45</v>
      </c>
      <c r="T1" s="125">
        <v>13</v>
      </c>
      <c r="U1" s="125">
        <v>14</v>
      </c>
      <c r="V1" s="125">
        <v>15</v>
      </c>
      <c r="W1" s="125">
        <v>16</v>
      </c>
      <c r="X1" s="125">
        <v>17</v>
      </c>
      <c r="Y1" s="125">
        <v>18</v>
      </c>
      <c r="Z1" s="125" t="s">
        <v>46</v>
      </c>
      <c r="AA1" s="125" t="s">
        <v>47</v>
      </c>
      <c r="AB1" s="125">
        <v>19</v>
      </c>
      <c r="AC1" s="125" t="s">
        <v>48</v>
      </c>
      <c r="AD1" s="125" t="s">
        <v>49</v>
      </c>
      <c r="AE1" s="125" t="s">
        <v>50</v>
      </c>
      <c r="AF1" s="125" t="s">
        <v>51</v>
      </c>
      <c r="AG1" s="125">
        <v>21</v>
      </c>
      <c r="AH1" s="125" t="s">
        <v>52</v>
      </c>
      <c r="AI1" s="125" t="s">
        <v>53</v>
      </c>
      <c r="AJ1" s="125">
        <v>22</v>
      </c>
      <c r="AK1" s="125" t="s">
        <v>54</v>
      </c>
      <c r="AL1" s="125" t="s">
        <v>55</v>
      </c>
    </row>
    <row r="2" spans="1:38" ht="15" thickTop="1" x14ac:dyDescent="0.35">
      <c r="A2" s="146">
        <v>32276</v>
      </c>
      <c r="B2" s="132">
        <v>456.77</v>
      </c>
      <c r="C2" s="132">
        <v>433.52</v>
      </c>
      <c r="D2" s="132">
        <v>198.58</v>
      </c>
      <c r="E2" s="132">
        <v>214.7</v>
      </c>
      <c r="F2" s="132">
        <v>266.55</v>
      </c>
      <c r="G2" s="126">
        <v>162.21</v>
      </c>
      <c r="H2" s="127">
        <v>157.82</v>
      </c>
      <c r="I2" s="132">
        <v>200.5</v>
      </c>
      <c r="J2" s="127">
        <v>220.65</v>
      </c>
      <c r="K2" s="127">
        <v>232.16</v>
      </c>
      <c r="L2" s="132">
        <v>209.12</v>
      </c>
      <c r="M2" s="127">
        <v>106.56</v>
      </c>
      <c r="N2" s="132">
        <v>134.88999999999999</v>
      </c>
      <c r="O2" s="126">
        <v>125.85</v>
      </c>
      <c r="P2" s="132"/>
      <c r="Q2" s="126">
        <v>140.84</v>
      </c>
      <c r="R2" s="173"/>
      <c r="S2" s="135"/>
      <c r="T2" s="132"/>
      <c r="U2" s="135"/>
      <c r="V2" s="132"/>
      <c r="W2" s="135"/>
      <c r="X2" s="173"/>
      <c r="Y2" s="135"/>
      <c r="Z2" s="132"/>
      <c r="AA2" s="132"/>
      <c r="AB2" s="132"/>
      <c r="AC2" s="132"/>
      <c r="AD2" s="132"/>
      <c r="AE2" s="132"/>
      <c r="AF2" s="132"/>
      <c r="AG2" s="132"/>
      <c r="AH2" s="132"/>
      <c r="AI2" s="132"/>
      <c r="AJ2" s="132"/>
      <c r="AK2" s="132"/>
      <c r="AL2" s="133"/>
    </row>
    <row r="3" spans="1:38" x14ac:dyDescent="0.35">
      <c r="A3" s="146">
        <v>32307</v>
      </c>
      <c r="B3" s="132">
        <v>457.18</v>
      </c>
      <c r="C3" s="132">
        <v>436.34</v>
      </c>
      <c r="D3" s="132">
        <v>207.5</v>
      </c>
      <c r="E3" s="132">
        <v>215.23</v>
      </c>
      <c r="F3" s="132">
        <v>265.99</v>
      </c>
      <c r="G3" s="126">
        <v>167.18</v>
      </c>
      <c r="H3" s="127">
        <v>181.19</v>
      </c>
      <c r="I3" s="132">
        <v>205.85</v>
      </c>
      <c r="J3" s="127">
        <v>221.2</v>
      </c>
      <c r="K3" s="127">
        <v>234.04</v>
      </c>
      <c r="L3" s="132">
        <v>210.31</v>
      </c>
      <c r="M3" s="127">
        <v>107.33</v>
      </c>
      <c r="N3" s="132">
        <v>137.30000000000001</v>
      </c>
      <c r="O3" s="126">
        <v>126.36</v>
      </c>
      <c r="P3" s="132"/>
      <c r="Q3" s="126">
        <v>159.41</v>
      </c>
      <c r="R3" s="135"/>
      <c r="S3" s="135"/>
      <c r="T3" s="132"/>
      <c r="U3" s="135"/>
      <c r="V3" s="132"/>
      <c r="W3" s="135"/>
      <c r="X3" s="135"/>
      <c r="Y3" s="135"/>
      <c r="Z3" s="132"/>
      <c r="AA3" s="132"/>
      <c r="AB3" s="132"/>
      <c r="AC3" s="132"/>
      <c r="AD3" s="132"/>
      <c r="AE3" s="132"/>
      <c r="AF3" s="132"/>
      <c r="AG3" s="132"/>
      <c r="AH3" s="132"/>
      <c r="AI3" s="132"/>
      <c r="AJ3" s="132"/>
      <c r="AK3" s="132"/>
      <c r="AL3" s="133"/>
    </row>
    <row r="4" spans="1:38" x14ac:dyDescent="0.35">
      <c r="A4" s="146">
        <v>32335</v>
      </c>
      <c r="B4" s="132">
        <v>457.25</v>
      </c>
      <c r="C4" s="132">
        <v>436.35</v>
      </c>
      <c r="D4" s="132">
        <v>207.61</v>
      </c>
      <c r="E4" s="132">
        <v>215.01</v>
      </c>
      <c r="F4" s="132">
        <v>265.13</v>
      </c>
      <c r="G4" s="126">
        <v>159.5</v>
      </c>
      <c r="H4" s="127">
        <v>156.63999999999999</v>
      </c>
      <c r="I4" s="132">
        <v>206.54</v>
      </c>
      <c r="J4" s="127">
        <v>220.93</v>
      </c>
      <c r="K4" s="127">
        <v>234.18</v>
      </c>
      <c r="L4" s="132">
        <v>210.24</v>
      </c>
      <c r="M4" s="127">
        <v>107.36</v>
      </c>
      <c r="N4" s="147"/>
      <c r="O4" s="126">
        <v>126.2</v>
      </c>
      <c r="P4" s="132"/>
      <c r="Q4" s="126">
        <v>136.97999999999999</v>
      </c>
      <c r="R4" s="135"/>
      <c r="S4" s="135"/>
      <c r="T4" s="132"/>
      <c r="U4" s="135"/>
      <c r="V4" s="132"/>
      <c r="W4" s="135"/>
      <c r="X4" s="135"/>
      <c r="Y4" s="135"/>
      <c r="Z4" s="132"/>
      <c r="AA4" s="132"/>
      <c r="AB4" s="132"/>
      <c r="AC4" s="132"/>
      <c r="AD4" s="132"/>
      <c r="AE4" s="132"/>
      <c r="AF4" s="132"/>
      <c r="AG4" s="132"/>
      <c r="AH4" s="132"/>
      <c r="AI4" s="132"/>
      <c r="AJ4" s="132"/>
      <c r="AK4" s="132"/>
      <c r="AL4" s="133"/>
    </row>
    <row r="5" spans="1:38" x14ac:dyDescent="0.35">
      <c r="A5" s="146">
        <v>32371</v>
      </c>
      <c r="B5" s="132">
        <v>457.28</v>
      </c>
      <c r="C5" s="132">
        <v>436.32</v>
      </c>
      <c r="D5" s="132">
        <v>207.37</v>
      </c>
      <c r="E5" s="132">
        <v>214.64</v>
      </c>
      <c r="F5" s="132">
        <v>263.92</v>
      </c>
      <c r="G5" s="126">
        <v>155.57</v>
      </c>
      <c r="H5" s="127">
        <v>155.22999999999999</v>
      </c>
      <c r="I5" s="132">
        <v>200.43</v>
      </c>
      <c r="J5" s="127">
        <v>220.74</v>
      </c>
      <c r="K5" s="127">
        <v>232.11</v>
      </c>
      <c r="L5" s="132">
        <v>210.36</v>
      </c>
      <c r="M5" s="127">
        <v>107.36</v>
      </c>
      <c r="N5" s="147">
        <v>144.02000000000001</v>
      </c>
      <c r="O5" s="126">
        <v>126.06</v>
      </c>
      <c r="P5" s="132"/>
      <c r="Q5" s="126">
        <v>136.78</v>
      </c>
      <c r="R5" s="135"/>
      <c r="S5" s="135"/>
      <c r="T5" s="132"/>
      <c r="U5" s="135"/>
      <c r="V5" s="132"/>
      <c r="W5" s="135"/>
      <c r="X5" s="135"/>
      <c r="Y5" s="135"/>
      <c r="Z5" s="132"/>
      <c r="AA5" s="132"/>
      <c r="AB5" s="132"/>
      <c r="AC5" s="132"/>
      <c r="AD5" s="132"/>
      <c r="AE5" s="132"/>
      <c r="AF5" s="132"/>
      <c r="AG5" s="132"/>
      <c r="AH5" s="132"/>
      <c r="AI5" s="132"/>
      <c r="AJ5" s="132"/>
      <c r="AK5" s="132"/>
      <c r="AL5" s="133"/>
    </row>
    <row r="6" spans="1:38" x14ac:dyDescent="0.35">
      <c r="A6" s="148">
        <v>32398</v>
      </c>
      <c r="B6" s="132">
        <v>457.14</v>
      </c>
      <c r="C6" s="132">
        <v>436.33</v>
      </c>
      <c r="D6" s="132">
        <v>207.34</v>
      </c>
      <c r="E6" s="132">
        <v>214.68</v>
      </c>
      <c r="F6" s="132">
        <v>263.05</v>
      </c>
      <c r="G6" s="126">
        <v>157.31</v>
      </c>
      <c r="H6" s="127">
        <v>155.69</v>
      </c>
      <c r="I6" s="132">
        <v>211.68</v>
      </c>
      <c r="J6" s="127">
        <v>220.69</v>
      </c>
      <c r="K6" s="127">
        <v>232.02</v>
      </c>
      <c r="L6" s="132">
        <v>210</v>
      </c>
      <c r="M6" s="127">
        <v>107.28</v>
      </c>
      <c r="N6" s="147">
        <v>134.75</v>
      </c>
      <c r="O6" s="126">
        <v>125.87</v>
      </c>
      <c r="P6" s="132"/>
      <c r="Q6" s="126">
        <v>135.97999999999999</v>
      </c>
      <c r="R6" s="135"/>
      <c r="S6" s="135"/>
      <c r="T6" s="132"/>
      <c r="U6" s="135"/>
      <c r="V6" s="132"/>
      <c r="W6" s="135"/>
      <c r="X6" s="135"/>
      <c r="Y6" s="135"/>
      <c r="Z6" s="132"/>
      <c r="AA6" s="132"/>
      <c r="AB6" s="132"/>
      <c r="AC6" s="132"/>
      <c r="AD6" s="132"/>
      <c r="AE6" s="132"/>
      <c r="AF6" s="132"/>
      <c r="AG6" s="132"/>
      <c r="AH6" s="132"/>
      <c r="AI6" s="132"/>
      <c r="AJ6" s="132"/>
      <c r="AK6" s="132"/>
      <c r="AL6" s="133"/>
    </row>
    <row r="7" spans="1:38" x14ac:dyDescent="0.35">
      <c r="A7" s="148">
        <v>32426</v>
      </c>
      <c r="B7" s="132">
        <v>457.22</v>
      </c>
      <c r="C7" s="132">
        <v>436.23</v>
      </c>
      <c r="D7" s="132">
        <v>207.23</v>
      </c>
      <c r="E7" s="132">
        <v>214.57</v>
      </c>
      <c r="F7" s="132">
        <v>262.57</v>
      </c>
      <c r="G7" s="126">
        <v>159.22999999999999</v>
      </c>
      <c r="H7" s="127">
        <v>156.6</v>
      </c>
      <c r="I7" s="132">
        <v>209.06</v>
      </c>
      <c r="J7" s="127">
        <v>220.64</v>
      </c>
      <c r="K7" s="127">
        <v>234.87</v>
      </c>
      <c r="L7" s="132">
        <v>210.1</v>
      </c>
      <c r="M7" s="127">
        <v>107.34</v>
      </c>
      <c r="N7" s="147"/>
      <c r="O7" s="126">
        <v>125.66</v>
      </c>
      <c r="P7" s="132"/>
      <c r="Q7" s="126">
        <v>135.18</v>
      </c>
      <c r="R7" s="135"/>
      <c r="S7" s="135"/>
      <c r="T7" s="132"/>
      <c r="U7" s="135"/>
      <c r="V7" s="132"/>
      <c r="W7" s="135"/>
      <c r="X7" s="135"/>
      <c r="Y7" s="135"/>
      <c r="Z7" s="132"/>
      <c r="AA7" s="132"/>
      <c r="AB7" s="132"/>
      <c r="AC7" s="132"/>
      <c r="AD7" s="132"/>
      <c r="AE7" s="132"/>
      <c r="AF7" s="132"/>
      <c r="AG7" s="132"/>
      <c r="AH7" s="132"/>
      <c r="AI7" s="132"/>
      <c r="AJ7" s="132"/>
      <c r="AK7" s="132"/>
      <c r="AL7" s="133"/>
    </row>
    <row r="8" spans="1:38" x14ac:dyDescent="0.35">
      <c r="A8" s="148">
        <v>32461</v>
      </c>
      <c r="B8" s="132">
        <v>457.23</v>
      </c>
      <c r="C8" s="132">
        <v>436.35</v>
      </c>
      <c r="D8" s="132">
        <v>207.33</v>
      </c>
      <c r="E8" s="132">
        <v>214.72</v>
      </c>
      <c r="F8" s="132">
        <v>262.61</v>
      </c>
      <c r="G8" s="126">
        <v>155.55000000000001</v>
      </c>
      <c r="H8" s="127">
        <v>155.27000000000001</v>
      </c>
      <c r="I8" s="132">
        <v>211.44</v>
      </c>
      <c r="J8" s="127">
        <v>220.55</v>
      </c>
      <c r="K8" s="127">
        <v>234.44</v>
      </c>
      <c r="L8" s="132">
        <v>210.06</v>
      </c>
      <c r="M8" s="127">
        <v>107.36</v>
      </c>
      <c r="N8" s="147"/>
      <c r="O8" s="126">
        <v>125.45</v>
      </c>
      <c r="P8" s="132"/>
      <c r="Q8" s="126">
        <v>134.9</v>
      </c>
      <c r="R8" s="135"/>
      <c r="S8" s="135"/>
      <c r="T8" s="132"/>
      <c r="U8" s="135"/>
      <c r="V8" s="132"/>
      <c r="W8" s="135"/>
      <c r="X8" s="135"/>
      <c r="Y8" s="135"/>
      <c r="Z8" s="132">
        <v>133.81</v>
      </c>
      <c r="AA8" s="132"/>
      <c r="AB8" s="132">
        <v>106.70000000000002</v>
      </c>
      <c r="AC8" s="132"/>
      <c r="AD8" s="132"/>
      <c r="AE8" s="132"/>
      <c r="AF8" s="132"/>
      <c r="AG8" s="132">
        <v>94.94</v>
      </c>
      <c r="AH8" s="132"/>
      <c r="AI8" s="132"/>
      <c r="AJ8" s="132">
        <v>112.75000000000001</v>
      </c>
      <c r="AK8" s="132"/>
      <c r="AL8" s="133"/>
    </row>
    <row r="9" spans="1:38" x14ac:dyDescent="0.35">
      <c r="A9" s="148">
        <v>32489</v>
      </c>
      <c r="B9" s="132">
        <v>456.92</v>
      </c>
      <c r="C9" s="132">
        <v>436</v>
      </c>
      <c r="D9" s="132">
        <v>207.35</v>
      </c>
      <c r="E9" s="132">
        <v>214.76</v>
      </c>
      <c r="F9" s="132">
        <v>263.12</v>
      </c>
      <c r="G9" s="126">
        <v>157.05000000000001</v>
      </c>
      <c r="H9" s="127">
        <v>155.34</v>
      </c>
      <c r="I9" s="132">
        <v>201.08</v>
      </c>
      <c r="J9" s="127">
        <v>220.51</v>
      </c>
      <c r="K9" s="127">
        <v>236.52</v>
      </c>
      <c r="L9" s="132">
        <v>210.12</v>
      </c>
      <c r="M9" s="127">
        <v>107.3</v>
      </c>
      <c r="N9" s="147"/>
      <c r="O9" s="126">
        <v>125.19</v>
      </c>
      <c r="P9" s="132"/>
      <c r="Q9" s="126">
        <v>133.78</v>
      </c>
      <c r="R9" s="135"/>
      <c r="S9" s="135"/>
      <c r="T9" s="132"/>
      <c r="U9" s="135"/>
      <c r="V9" s="132"/>
      <c r="W9" s="135"/>
      <c r="X9" s="135"/>
      <c r="Y9" s="135"/>
      <c r="Z9" s="132">
        <v>132.68</v>
      </c>
      <c r="AA9" s="132">
        <v>131.5</v>
      </c>
      <c r="AB9" s="132">
        <v>105.58000000000001</v>
      </c>
      <c r="AC9" s="132"/>
      <c r="AD9" s="132"/>
      <c r="AE9" s="132"/>
      <c r="AF9" s="132"/>
      <c r="AG9" s="132">
        <v>93.779999999999987</v>
      </c>
      <c r="AH9" s="132"/>
      <c r="AI9" s="132"/>
      <c r="AJ9" s="132">
        <v>112.25000000000001</v>
      </c>
      <c r="AK9" s="132"/>
      <c r="AL9" s="133"/>
    </row>
    <row r="10" spans="1:38" x14ac:dyDescent="0.35">
      <c r="A10" s="148">
        <v>32517</v>
      </c>
      <c r="B10" s="132">
        <v>457.12</v>
      </c>
      <c r="C10" s="132">
        <v>436.11</v>
      </c>
      <c r="D10" s="132">
        <v>206.98</v>
      </c>
      <c r="E10" s="132">
        <v>214.56</v>
      </c>
      <c r="F10" s="132">
        <v>268.29000000000002</v>
      </c>
      <c r="G10" s="126">
        <v>167.3</v>
      </c>
      <c r="H10" s="127">
        <v>158.25</v>
      </c>
      <c r="I10" s="132">
        <v>201.72</v>
      </c>
      <c r="J10" s="127">
        <v>220.94</v>
      </c>
      <c r="K10" s="127">
        <v>236.65</v>
      </c>
      <c r="L10" s="132">
        <v>210.14</v>
      </c>
      <c r="M10" s="127">
        <v>107.33</v>
      </c>
      <c r="N10" s="147"/>
      <c r="O10" s="126">
        <v>125.03</v>
      </c>
      <c r="P10" s="132"/>
      <c r="Q10" s="126">
        <v>134.05000000000001</v>
      </c>
      <c r="R10" s="135"/>
      <c r="S10" s="135"/>
      <c r="T10" s="132"/>
      <c r="U10" s="135"/>
      <c r="V10" s="132"/>
      <c r="W10" s="135"/>
      <c r="X10" s="135"/>
      <c r="Y10" s="135"/>
      <c r="Z10" s="132">
        <v>132.70000000000002</v>
      </c>
      <c r="AA10" s="132"/>
      <c r="AB10" s="132">
        <v>105.58000000000001</v>
      </c>
      <c r="AC10" s="132"/>
      <c r="AD10" s="132"/>
      <c r="AE10" s="132"/>
      <c r="AF10" s="132"/>
      <c r="AG10" s="132">
        <v>93.86999999999999</v>
      </c>
      <c r="AH10" s="132"/>
      <c r="AI10" s="132"/>
      <c r="AJ10" s="132">
        <v>112.61000000000001</v>
      </c>
      <c r="AK10" s="132"/>
      <c r="AL10" s="133"/>
    </row>
    <row r="11" spans="1:38" x14ac:dyDescent="0.35">
      <c r="A11" s="148">
        <v>32552</v>
      </c>
      <c r="B11" s="132">
        <v>457.19</v>
      </c>
      <c r="C11" s="132">
        <v>436.77</v>
      </c>
      <c r="D11" s="132">
        <v>207.11</v>
      </c>
      <c r="E11" s="132">
        <v>214.81</v>
      </c>
      <c r="F11" s="132">
        <v>267.64999999999998</v>
      </c>
      <c r="G11" s="126">
        <v>167.9</v>
      </c>
      <c r="H11" s="127">
        <v>159.72999999999999</v>
      </c>
      <c r="I11" s="132">
        <v>202.84</v>
      </c>
      <c r="J11" s="127">
        <v>221.06</v>
      </c>
      <c r="K11" s="127">
        <v>237.24</v>
      </c>
      <c r="L11" s="132">
        <v>210.46</v>
      </c>
      <c r="M11" s="127">
        <v>107.37</v>
      </c>
      <c r="N11" s="147">
        <v>144.02000000000001</v>
      </c>
      <c r="O11" s="126">
        <v>124.98</v>
      </c>
      <c r="P11" s="132"/>
      <c r="Q11" s="126">
        <v>134.49</v>
      </c>
      <c r="R11" s="135"/>
      <c r="S11" s="135"/>
      <c r="T11" s="132"/>
      <c r="U11" s="135"/>
      <c r="V11" s="132"/>
      <c r="W11" s="135"/>
      <c r="X11" s="135"/>
      <c r="Y11" s="135"/>
      <c r="Z11" s="132">
        <v>133.37</v>
      </c>
      <c r="AA11" s="132"/>
      <c r="AB11" s="132">
        <v>105.41000000000001</v>
      </c>
      <c r="AC11" s="132"/>
      <c r="AD11" s="132"/>
      <c r="AE11" s="132"/>
      <c r="AF11" s="132"/>
      <c r="AG11" s="132">
        <v>93.969999999999985</v>
      </c>
      <c r="AH11" s="132"/>
      <c r="AI11" s="132"/>
      <c r="AJ11" s="132">
        <v>110.4</v>
      </c>
      <c r="AK11" s="132"/>
      <c r="AL11" s="133"/>
    </row>
    <row r="12" spans="1:38" x14ac:dyDescent="0.35">
      <c r="A12" s="148">
        <v>32587</v>
      </c>
      <c r="B12" s="132">
        <v>457.19</v>
      </c>
      <c r="C12" s="132">
        <v>437.01</v>
      </c>
      <c r="D12" s="132">
        <v>207.42</v>
      </c>
      <c r="E12" s="132">
        <v>215.44</v>
      </c>
      <c r="F12" s="132">
        <v>266.89999999999998</v>
      </c>
      <c r="G12" s="126">
        <v>163.92</v>
      </c>
      <c r="H12" s="127">
        <v>159.53</v>
      </c>
      <c r="I12" s="132">
        <v>200.5</v>
      </c>
      <c r="J12" s="127">
        <v>221.26</v>
      </c>
      <c r="K12" s="127">
        <v>234.27</v>
      </c>
      <c r="L12" s="132">
        <v>210.69</v>
      </c>
      <c r="M12" s="127">
        <v>107.57</v>
      </c>
      <c r="N12" s="147"/>
      <c r="O12" s="126">
        <v>125.36</v>
      </c>
      <c r="P12" s="132"/>
      <c r="Q12" s="126">
        <v>133.56</v>
      </c>
      <c r="R12" s="135"/>
      <c r="S12" s="135"/>
      <c r="T12" s="132"/>
      <c r="U12" s="135"/>
      <c r="V12" s="132"/>
      <c r="W12" s="135"/>
      <c r="X12" s="135"/>
      <c r="Y12" s="135"/>
      <c r="Z12" s="132">
        <v>132.28</v>
      </c>
      <c r="AA12" s="132">
        <v>131.55000000000001</v>
      </c>
      <c r="AB12" s="132">
        <v>105.23000000000002</v>
      </c>
      <c r="AC12" s="132"/>
      <c r="AD12" s="132"/>
      <c r="AE12" s="132"/>
      <c r="AF12" s="132"/>
      <c r="AG12" s="132">
        <v>93.919999999999987</v>
      </c>
      <c r="AH12" s="132"/>
      <c r="AI12" s="132"/>
      <c r="AJ12" s="132">
        <v>110.33000000000001</v>
      </c>
      <c r="AK12" s="132"/>
      <c r="AL12" s="133"/>
    </row>
    <row r="13" spans="1:38" x14ac:dyDescent="0.35">
      <c r="A13" s="148">
        <v>32608</v>
      </c>
      <c r="B13" s="132">
        <v>457.18</v>
      </c>
      <c r="C13" s="132">
        <v>436.51</v>
      </c>
      <c r="D13" s="132">
        <v>207.58</v>
      </c>
      <c r="E13" s="132">
        <v>215.54</v>
      </c>
      <c r="F13" s="132">
        <v>268.8</v>
      </c>
      <c r="G13" s="126">
        <v>163.16999999999999</v>
      </c>
      <c r="H13" s="127">
        <v>158.6</v>
      </c>
      <c r="I13" s="132">
        <v>200.5</v>
      </c>
      <c r="J13" s="127">
        <v>221.15</v>
      </c>
      <c r="K13" s="127">
        <v>232.7</v>
      </c>
      <c r="L13" s="132">
        <v>210.68</v>
      </c>
      <c r="M13" s="127">
        <v>107.51</v>
      </c>
      <c r="N13" s="147">
        <v>139.80000000000001</v>
      </c>
      <c r="O13" s="126">
        <v>125.54</v>
      </c>
      <c r="P13" s="132"/>
      <c r="Q13" s="126">
        <v>133.38999999999999</v>
      </c>
      <c r="R13" s="135"/>
      <c r="S13" s="135"/>
      <c r="T13" s="132"/>
      <c r="U13" s="135"/>
      <c r="V13" s="132"/>
      <c r="W13" s="135"/>
      <c r="X13" s="135"/>
      <c r="Y13" s="135"/>
      <c r="Z13" s="132">
        <v>131.05000000000001</v>
      </c>
      <c r="AA13" s="132"/>
      <c r="AB13" s="132">
        <v>103.8</v>
      </c>
      <c r="AC13" s="132"/>
      <c r="AD13" s="132"/>
      <c r="AE13" s="132"/>
      <c r="AF13" s="132"/>
      <c r="AG13" s="132">
        <v>93.22</v>
      </c>
      <c r="AH13" s="132"/>
      <c r="AI13" s="132"/>
      <c r="AJ13" s="132">
        <v>109.28</v>
      </c>
      <c r="AK13" s="132"/>
      <c r="AL13" s="133"/>
    </row>
    <row r="14" spans="1:38" x14ac:dyDescent="0.35">
      <c r="A14" s="148">
        <v>32636</v>
      </c>
      <c r="B14" s="132">
        <v>457.13</v>
      </c>
      <c r="C14" s="132">
        <v>436.44</v>
      </c>
      <c r="D14" s="132">
        <v>207.53</v>
      </c>
      <c r="E14" s="132">
        <v>215.41</v>
      </c>
      <c r="F14" s="132">
        <v>267</v>
      </c>
      <c r="G14" s="126">
        <v>160.68</v>
      </c>
      <c r="H14" s="127">
        <v>157.94</v>
      </c>
      <c r="I14" s="132">
        <v>211.62</v>
      </c>
      <c r="J14" s="127">
        <v>220.79</v>
      </c>
      <c r="K14" s="127">
        <v>232.81</v>
      </c>
      <c r="L14" s="132">
        <v>210.29</v>
      </c>
      <c r="M14" s="127">
        <v>108.21</v>
      </c>
      <c r="N14" s="147">
        <v>139.13999999999999</v>
      </c>
      <c r="O14" s="126">
        <v>126.34</v>
      </c>
      <c r="P14" s="132"/>
      <c r="Q14" s="126"/>
      <c r="R14" s="135"/>
      <c r="S14" s="135"/>
      <c r="T14" s="132"/>
      <c r="U14" s="135"/>
      <c r="V14" s="132"/>
      <c r="W14" s="135"/>
      <c r="X14" s="135"/>
      <c r="Y14" s="135"/>
      <c r="Z14" s="132">
        <v>130.1</v>
      </c>
      <c r="AA14" s="132"/>
      <c r="AB14" s="132">
        <v>103.72</v>
      </c>
      <c r="AC14" s="132"/>
      <c r="AD14" s="132"/>
      <c r="AE14" s="132"/>
      <c r="AF14" s="132"/>
      <c r="AG14" s="132">
        <v>93.240000000000009</v>
      </c>
      <c r="AH14" s="132"/>
      <c r="AI14" s="132"/>
      <c r="AJ14" s="132">
        <v>109.35</v>
      </c>
      <c r="AK14" s="132"/>
      <c r="AL14" s="133"/>
    </row>
    <row r="15" spans="1:38" x14ac:dyDescent="0.35">
      <c r="A15" s="148">
        <v>32671</v>
      </c>
      <c r="B15" s="132">
        <v>457.1</v>
      </c>
      <c r="C15" s="132">
        <v>436.3</v>
      </c>
      <c r="D15" s="132">
        <v>207.39</v>
      </c>
      <c r="E15" s="132">
        <v>215.25</v>
      </c>
      <c r="F15" s="132">
        <v>264.88</v>
      </c>
      <c r="G15" s="126">
        <v>157.44</v>
      </c>
      <c r="H15" s="127">
        <v>156.46</v>
      </c>
      <c r="I15" s="132">
        <v>203.34</v>
      </c>
      <c r="J15" s="127">
        <v>220.72</v>
      </c>
      <c r="K15" s="127">
        <v>231.72</v>
      </c>
      <c r="L15" s="132">
        <v>209.95</v>
      </c>
      <c r="M15" s="127">
        <v>107.98</v>
      </c>
      <c r="N15" s="147">
        <v>140.85</v>
      </c>
      <c r="O15" s="126">
        <v>126.62</v>
      </c>
      <c r="P15" s="132"/>
      <c r="Q15" s="126">
        <v>132.41999999999999</v>
      </c>
      <c r="R15" s="135"/>
      <c r="S15" s="135"/>
      <c r="T15" s="132"/>
      <c r="U15" s="135"/>
      <c r="V15" s="132"/>
      <c r="W15" s="135"/>
      <c r="X15" s="135"/>
      <c r="Y15" s="135"/>
      <c r="Z15" s="132">
        <v>131</v>
      </c>
      <c r="AA15" s="132"/>
      <c r="AB15" s="132">
        <v>103.55</v>
      </c>
      <c r="AC15" s="132"/>
      <c r="AD15" s="132"/>
      <c r="AE15" s="132"/>
      <c r="AF15" s="132"/>
      <c r="AG15" s="132">
        <v>92.55</v>
      </c>
      <c r="AH15" s="132"/>
      <c r="AI15" s="132"/>
      <c r="AJ15" s="132">
        <v>109.72</v>
      </c>
      <c r="AK15" s="132"/>
      <c r="AL15" s="133"/>
    </row>
    <row r="16" spans="1:38" x14ac:dyDescent="0.35">
      <c r="A16" s="148">
        <v>32699</v>
      </c>
      <c r="B16" s="132">
        <v>457.03</v>
      </c>
      <c r="C16" s="132">
        <v>431.15</v>
      </c>
      <c r="D16" s="132">
        <v>207.19</v>
      </c>
      <c r="E16" s="132">
        <v>215.02</v>
      </c>
      <c r="F16" s="132">
        <v>262.95999999999998</v>
      </c>
      <c r="G16" s="126">
        <v>155.26</v>
      </c>
      <c r="H16" s="127">
        <v>155.19999999999999</v>
      </c>
      <c r="I16" s="132">
        <v>200.5</v>
      </c>
      <c r="J16" s="127">
        <v>220.59</v>
      </c>
      <c r="K16" s="127">
        <v>231.76</v>
      </c>
      <c r="L16" s="132">
        <v>209.94</v>
      </c>
      <c r="M16" s="127">
        <v>107.89</v>
      </c>
      <c r="N16" s="147">
        <v>140.13</v>
      </c>
      <c r="O16" s="126">
        <v>126.34</v>
      </c>
      <c r="P16" s="132"/>
      <c r="Q16" s="126">
        <v>132.41</v>
      </c>
      <c r="R16" s="135"/>
      <c r="S16" s="135"/>
      <c r="T16" s="132"/>
      <c r="U16" s="135"/>
      <c r="V16" s="132"/>
      <c r="W16" s="135"/>
      <c r="X16" s="135"/>
      <c r="Y16" s="135"/>
      <c r="Z16" s="132">
        <v>131.19999999999999</v>
      </c>
      <c r="AA16" s="132"/>
      <c r="AB16" s="132">
        <v>103.71000000000001</v>
      </c>
      <c r="AC16" s="132"/>
      <c r="AD16" s="132"/>
      <c r="AE16" s="132"/>
      <c r="AF16" s="132"/>
      <c r="AG16" s="132">
        <v>93.11</v>
      </c>
      <c r="AH16" s="132"/>
      <c r="AI16" s="132"/>
      <c r="AJ16" s="132">
        <v>109.85</v>
      </c>
      <c r="AK16" s="132"/>
      <c r="AL16" s="133"/>
    </row>
    <row r="17" spans="1:38" x14ac:dyDescent="0.35">
      <c r="A17" s="148">
        <v>32734</v>
      </c>
      <c r="B17" s="132">
        <v>457.02</v>
      </c>
      <c r="C17" s="132">
        <v>436.17</v>
      </c>
      <c r="D17" s="132">
        <v>207.18</v>
      </c>
      <c r="E17" s="132">
        <v>214.92</v>
      </c>
      <c r="F17" s="132">
        <v>262.92</v>
      </c>
      <c r="G17" s="126">
        <v>155.13</v>
      </c>
      <c r="H17" s="127">
        <v>155.16</v>
      </c>
      <c r="I17" s="132">
        <v>204.29</v>
      </c>
      <c r="J17" s="127">
        <v>220.62</v>
      </c>
      <c r="K17" s="127">
        <v>231.68</v>
      </c>
      <c r="L17" s="132">
        <v>209.86</v>
      </c>
      <c r="M17" s="127">
        <v>108.17</v>
      </c>
      <c r="N17" s="147">
        <v>140.08000000000001</v>
      </c>
      <c r="O17" s="126">
        <v>126.31</v>
      </c>
      <c r="P17" s="132"/>
      <c r="Q17" s="126">
        <v>132.47</v>
      </c>
      <c r="R17" s="135"/>
      <c r="S17" s="135"/>
      <c r="T17" s="132"/>
      <c r="U17" s="135"/>
      <c r="V17" s="132"/>
      <c r="W17" s="135"/>
      <c r="X17" s="135"/>
      <c r="Y17" s="135"/>
      <c r="Z17" s="132">
        <v>130.97</v>
      </c>
      <c r="AA17" s="132"/>
      <c r="AB17" s="132">
        <v>103.34</v>
      </c>
      <c r="AC17" s="132"/>
      <c r="AD17" s="132"/>
      <c r="AE17" s="132"/>
      <c r="AF17" s="132"/>
      <c r="AG17" s="132">
        <v>92.33</v>
      </c>
      <c r="AH17" s="132"/>
      <c r="AI17" s="132"/>
      <c r="AJ17" s="132">
        <v>109.38</v>
      </c>
      <c r="AK17" s="132"/>
      <c r="AL17" s="133"/>
    </row>
    <row r="18" spans="1:38" x14ac:dyDescent="0.35">
      <c r="A18" s="148">
        <v>32770</v>
      </c>
      <c r="B18" s="132">
        <v>456.93</v>
      </c>
      <c r="C18" s="132">
        <v>436.24</v>
      </c>
      <c r="D18" s="132">
        <v>207.09</v>
      </c>
      <c r="E18" s="132">
        <v>214.26</v>
      </c>
      <c r="F18" s="132">
        <v>261.05</v>
      </c>
      <c r="G18" s="126">
        <v>153.86000000000001</v>
      </c>
      <c r="H18" s="127">
        <v>154.1</v>
      </c>
      <c r="I18" s="132">
        <v>204.12</v>
      </c>
      <c r="J18" s="127">
        <v>220.33</v>
      </c>
      <c r="K18" s="127">
        <v>230.79</v>
      </c>
      <c r="L18" s="132">
        <v>209.87</v>
      </c>
      <c r="M18" s="127">
        <v>107.4</v>
      </c>
      <c r="N18" s="147"/>
      <c r="O18" s="126">
        <v>125.98</v>
      </c>
      <c r="P18" s="132"/>
      <c r="Q18" s="126">
        <v>130.88</v>
      </c>
      <c r="R18" s="135"/>
      <c r="S18" s="135"/>
      <c r="T18" s="132"/>
      <c r="U18" s="135"/>
      <c r="V18" s="132"/>
      <c r="W18" s="135"/>
      <c r="X18" s="135"/>
      <c r="Y18" s="135"/>
      <c r="Z18" s="132">
        <v>130.97999999999999</v>
      </c>
      <c r="AA18" s="132"/>
      <c r="AB18" s="132">
        <v>103.06</v>
      </c>
      <c r="AC18" s="132"/>
      <c r="AD18" s="132"/>
      <c r="AE18" s="132"/>
      <c r="AF18" s="132"/>
      <c r="AG18" s="132">
        <v>92.47999999999999</v>
      </c>
      <c r="AH18" s="132"/>
      <c r="AI18" s="132"/>
      <c r="AJ18" s="132">
        <v>108.85</v>
      </c>
      <c r="AK18" s="132"/>
      <c r="AL18" s="133"/>
    </row>
    <row r="19" spans="1:38" x14ac:dyDescent="0.35">
      <c r="A19" s="148">
        <v>32797</v>
      </c>
      <c r="B19" s="132">
        <v>457.01</v>
      </c>
      <c r="C19" s="132">
        <v>435.75</v>
      </c>
      <c r="D19" s="132">
        <v>206.67</v>
      </c>
      <c r="E19" s="132">
        <v>214.38</v>
      </c>
      <c r="F19" s="132">
        <v>260.23</v>
      </c>
      <c r="G19" s="126">
        <v>153.66</v>
      </c>
      <c r="H19" s="127">
        <v>153.87</v>
      </c>
      <c r="I19" s="132">
        <v>200.5</v>
      </c>
      <c r="J19" s="127">
        <v>220.43</v>
      </c>
      <c r="K19" s="127">
        <v>230.86</v>
      </c>
      <c r="L19" s="132">
        <v>209.94</v>
      </c>
      <c r="M19" s="127">
        <v>107.38</v>
      </c>
      <c r="N19" s="147"/>
      <c r="O19" s="126">
        <v>125.66</v>
      </c>
      <c r="P19" s="132"/>
      <c r="Q19" s="126">
        <v>130.72999999999999</v>
      </c>
      <c r="R19" s="135"/>
      <c r="S19" s="135"/>
      <c r="T19" s="132"/>
      <c r="U19" s="135"/>
      <c r="V19" s="132"/>
      <c r="W19" s="135"/>
      <c r="X19" s="135"/>
      <c r="Y19" s="135"/>
      <c r="Z19" s="132">
        <v>130.92000000000002</v>
      </c>
      <c r="AA19" s="132"/>
      <c r="AB19" s="132">
        <v>103.2</v>
      </c>
      <c r="AC19" s="132"/>
      <c r="AD19" s="132"/>
      <c r="AE19" s="132"/>
      <c r="AF19" s="132"/>
      <c r="AG19" s="132">
        <v>92.84</v>
      </c>
      <c r="AH19" s="132"/>
      <c r="AI19" s="132"/>
      <c r="AJ19" s="132">
        <v>108.57</v>
      </c>
      <c r="AK19" s="132"/>
      <c r="AL19" s="133"/>
    </row>
    <row r="20" spans="1:38" x14ac:dyDescent="0.35">
      <c r="A20" s="148">
        <v>32818</v>
      </c>
      <c r="B20" s="132">
        <v>457.01</v>
      </c>
      <c r="C20" s="132">
        <v>436.03</v>
      </c>
      <c r="D20" s="132">
        <v>206.29</v>
      </c>
      <c r="E20" s="132">
        <v>214.19</v>
      </c>
      <c r="F20" s="132">
        <v>260</v>
      </c>
      <c r="G20" s="126">
        <v>153.22</v>
      </c>
      <c r="H20" s="127">
        <v>153.75</v>
      </c>
      <c r="I20" s="132">
        <v>200.5</v>
      </c>
      <c r="J20" s="127">
        <v>220.49</v>
      </c>
      <c r="K20" s="127"/>
      <c r="L20" s="132">
        <v>209.84</v>
      </c>
      <c r="M20" s="127">
        <v>107.35</v>
      </c>
      <c r="N20" s="147"/>
      <c r="O20" s="126">
        <v>125.32</v>
      </c>
      <c r="P20" s="132"/>
      <c r="Q20" s="126">
        <v>130.08000000000001</v>
      </c>
      <c r="R20" s="135"/>
      <c r="S20" s="135"/>
      <c r="T20" s="132"/>
      <c r="U20" s="135"/>
      <c r="V20" s="132"/>
      <c r="W20" s="135"/>
      <c r="X20" s="135"/>
      <c r="Y20" s="135"/>
      <c r="Z20" s="132">
        <v>130.92000000000002</v>
      </c>
      <c r="AA20" s="132"/>
      <c r="AB20" s="132">
        <v>103.33</v>
      </c>
      <c r="AC20" s="132"/>
      <c r="AD20" s="132"/>
      <c r="AE20" s="132"/>
      <c r="AF20" s="132"/>
      <c r="AG20" s="132">
        <v>92.45</v>
      </c>
      <c r="AH20" s="132"/>
      <c r="AI20" s="132"/>
      <c r="AJ20" s="132">
        <v>108.45</v>
      </c>
      <c r="AK20" s="132"/>
      <c r="AL20" s="133"/>
    </row>
    <row r="21" spans="1:38" x14ac:dyDescent="0.35">
      <c r="A21" s="148">
        <v>32856</v>
      </c>
      <c r="B21" s="132">
        <v>456.95</v>
      </c>
      <c r="C21" s="132">
        <v>435.87</v>
      </c>
      <c r="D21" s="132">
        <v>206.27</v>
      </c>
      <c r="E21" s="132">
        <v>214.08</v>
      </c>
      <c r="F21" s="132">
        <v>259.99</v>
      </c>
      <c r="G21" s="126">
        <v>153.19999999999999</v>
      </c>
      <c r="H21" s="127">
        <v>153.76</v>
      </c>
      <c r="I21" s="132">
        <v>200.5</v>
      </c>
      <c r="J21" s="127">
        <v>220.45</v>
      </c>
      <c r="K21" s="127">
        <v>230.77</v>
      </c>
      <c r="L21" s="132">
        <v>209.69</v>
      </c>
      <c r="M21" s="127">
        <v>107.36</v>
      </c>
      <c r="N21" s="147"/>
      <c r="O21" s="126">
        <v>125.26</v>
      </c>
      <c r="P21" s="132"/>
      <c r="Q21" s="126">
        <v>130.06</v>
      </c>
      <c r="R21" s="135"/>
      <c r="S21" s="135"/>
      <c r="T21" s="132"/>
      <c r="U21" s="135"/>
      <c r="V21" s="132"/>
      <c r="W21" s="135"/>
      <c r="X21" s="135"/>
      <c r="Y21" s="135"/>
      <c r="Z21" s="132">
        <v>130.54</v>
      </c>
      <c r="AA21" s="132"/>
      <c r="AB21" s="132">
        <v>103.25</v>
      </c>
      <c r="AC21" s="132"/>
      <c r="AD21" s="132"/>
      <c r="AE21" s="132"/>
      <c r="AF21" s="132"/>
      <c r="AG21" s="132">
        <v>92.289999999999992</v>
      </c>
      <c r="AH21" s="132"/>
      <c r="AI21" s="132"/>
      <c r="AJ21" s="132">
        <v>108.38</v>
      </c>
      <c r="AK21" s="132"/>
      <c r="AL21" s="133"/>
    </row>
    <row r="22" spans="1:38" x14ac:dyDescent="0.35">
      <c r="A22" s="148">
        <v>32888</v>
      </c>
      <c r="B22" s="132">
        <v>456.77</v>
      </c>
      <c r="C22" s="132">
        <v>435.91</v>
      </c>
      <c r="D22" s="132">
        <v>206.26</v>
      </c>
      <c r="E22" s="132">
        <v>214.08</v>
      </c>
      <c r="F22" s="132">
        <v>266.55</v>
      </c>
      <c r="G22" s="126">
        <v>162.21</v>
      </c>
      <c r="H22" s="127">
        <v>157.82</v>
      </c>
      <c r="I22" s="132">
        <v>200.5</v>
      </c>
      <c r="J22" s="127">
        <v>220.65</v>
      </c>
      <c r="K22" s="127">
        <v>232.16</v>
      </c>
      <c r="L22" s="132">
        <v>209.67</v>
      </c>
      <c r="M22" s="127"/>
      <c r="N22" s="147">
        <v>134.88999999999999</v>
      </c>
      <c r="O22" s="126">
        <v>125.85</v>
      </c>
      <c r="P22" s="132"/>
      <c r="Q22" s="126">
        <v>140.84</v>
      </c>
      <c r="R22" s="135"/>
      <c r="S22" s="135"/>
      <c r="T22" s="132"/>
      <c r="U22" s="135"/>
      <c r="V22" s="132"/>
      <c r="W22" s="135"/>
      <c r="X22" s="135"/>
      <c r="Y22" s="135"/>
      <c r="Z22" s="132">
        <v>131.12</v>
      </c>
      <c r="AA22" s="132"/>
      <c r="AB22" s="132">
        <v>103.09</v>
      </c>
      <c r="AC22" s="132"/>
      <c r="AD22" s="132"/>
      <c r="AE22" s="132"/>
      <c r="AF22" s="132"/>
      <c r="AG22" s="132">
        <v>94.11</v>
      </c>
      <c r="AH22" s="132"/>
      <c r="AI22" s="132"/>
      <c r="AJ22" s="132">
        <v>108.05</v>
      </c>
      <c r="AK22" s="132"/>
      <c r="AL22" s="133"/>
    </row>
    <row r="23" spans="1:38" x14ac:dyDescent="0.35">
      <c r="A23" s="148">
        <v>32919</v>
      </c>
      <c r="B23" s="132">
        <v>457.18</v>
      </c>
      <c r="C23" s="132">
        <v>433.52</v>
      </c>
      <c r="D23" s="132">
        <v>198.58</v>
      </c>
      <c r="E23" s="132">
        <v>214.7</v>
      </c>
      <c r="F23" s="132">
        <v>265.99</v>
      </c>
      <c r="G23" s="126">
        <v>167.18</v>
      </c>
      <c r="H23" s="127">
        <v>181.19</v>
      </c>
      <c r="I23" s="132">
        <v>205.85</v>
      </c>
      <c r="J23" s="127">
        <v>221.2</v>
      </c>
      <c r="K23" s="127">
        <v>234.04</v>
      </c>
      <c r="L23" s="132">
        <v>209.12</v>
      </c>
      <c r="M23" s="127">
        <v>107.33</v>
      </c>
      <c r="N23" s="147">
        <v>137.30000000000001</v>
      </c>
      <c r="O23" s="126">
        <v>126.36</v>
      </c>
      <c r="P23" s="132"/>
      <c r="Q23" s="126">
        <v>159.41</v>
      </c>
      <c r="R23" s="135"/>
      <c r="S23" s="135"/>
      <c r="T23" s="132"/>
      <c r="U23" s="135"/>
      <c r="V23" s="132"/>
      <c r="W23" s="135"/>
      <c r="X23" s="135"/>
      <c r="Y23" s="135"/>
      <c r="Z23" s="132">
        <v>130.99</v>
      </c>
      <c r="AA23" s="132"/>
      <c r="AB23" s="132">
        <v>103.11</v>
      </c>
      <c r="AC23" s="132"/>
      <c r="AD23" s="132"/>
      <c r="AE23" s="132"/>
      <c r="AF23" s="132"/>
      <c r="AG23" s="132">
        <v>92.22999999999999</v>
      </c>
      <c r="AH23" s="132"/>
      <c r="AI23" s="132"/>
      <c r="AJ23" s="132">
        <v>108.08</v>
      </c>
      <c r="AK23" s="132"/>
      <c r="AL23" s="133"/>
    </row>
    <row r="24" spans="1:38" x14ac:dyDescent="0.35">
      <c r="A24" s="148">
        <v>32947</v>
      </c>
      <c r="B24" s="132">
        <v>457.25</v>
      </c>
      <c r="C24" s="132">
        <v>436.34</v>
      </c>
      <c r="D24" s="132">
        <v>207.5</v>
      </c>
      <c r="E24" s="132">
        <v>215.23</v>
      </c>
      <c r="F24" s="132">
        <v>265.13</v>
      </c>
      <c r="G24" s="126">
        <v>159.5</v>
      </c>
      <c r="H24" s="127">
        <v>156.63999999999999</v>
      </c>
      <c r="I24" s="132">
        <v>206.54</v>
      </c>
      <c r="J24" s="127">
        <v>220.93</v>
      </c>
      <c r="K24" s="127">
        <v>234.18</v>
      </c>
      <c r="L24" s="132">
        <v>210.31</v>
      </c>
      <c r="M24" s="127">
        <v>107.36</v>
      </c>
      <c r="N24" s="147"/>
      <c r="O24" s="126">
        <v>126.2</v>
      </c>
      <c r="P24" s="132"/>
      <c r="Q24" s="126">
        <v>136.97999999999999</v>
      </c>
      <c r="R24" s="135"/>
      <c r="S24" s="135"/>
      <c r="T24" s="132"/>
      <c r="U24" s="135"/>
      <c r="V24" s="132"/>
      <c r="W24" s="135"/>
      <c r="X24" s="135"/>
      <c r="Y24" s="135"/>
      <c r="Z24" s="132">
        <v>131.22</v>
      </c>
      <c r="AA24" s="132"/>
      <c r="AB24" s="132">
        <v>103.34</v>
      </c>
      <c r="AC24" s="132"/>
      <c r="AD24" s="132"/>
      <c r="AE24" s="132"/>
      <c r="AF24" s="132"/>
      <c r="AG24" s="132">
        <v>92.69</v>
      </c>
      <c r="AH24" s="132"/>
      <c r="AI24" s="132"/>
      <c r="AJ24" s="132">
        <v>107.8</v>
      </c>
      <c r="AK24" s="132"/>
      <c r="AL24" s="133"/>
    </row>
    <row r="25" spans="1:38" x14ac:dyDescent="0.35">
      <c r="A25" s="148">
        <v>32979</v>
      </c>
      <c r="B25" s="132">
        <v>457.28</v>
      </c>
      <c r="C25" s="132">
        <v>436.35</v>
      </c>
      <c r="D25" s="132">
        <v>207.61</v>
      </c>
      <c r="E25" s="132">
        <v>215.01</v>
      </c>
      <c r="F25" s="132">
        <v>263.92</v>
      </c>
      <c r="G25" s="126">
        <v>155.57</v>
      </c>
      <c r="H25" s="127">
        <v>155.22999999999999</v>
      </c>
      <c r="I25" s="132">
        <v>200.43</v>
      </c>
      <c r="J25" s="127">
        <v>220.74</v>
      </c>
      <c r="K25" s="127">
        <v>232.11</v>
      </c>
      <c r="L25" s="132">
        <v>210.24</v>
      </c>
      <c r="M25" s="127">
        <v>107.36</v>
      </c>
      <c r="N25" s="147">
        <v>144.02000000000001</v>
      </c>
      <c r="O25" s="126">
        <v>126.06</v>
      </c>
      <c r="P25" s="132"/>
      <c r="Q25" s="126">
        <v>136.78</v>
      </c>
      <c r="R25" s="135"/>
      <c r="S25" s="135"/>
      <c r="T25" s="132"/>
      <c r="U25" s="135"/>
      <c r="V25" s="132"/>
      <c r="W25" s="135"/>
      <c r="X25" s="135"/>
      <c r="Y25" s="135"/>
      <c r="Z25" s="132">
        <v>131.13999999999999</v>
      </c>
      <c r="AA25" s="132"/>
      <c r="AB25" s="132">
        <v>103.28999999999999</v>
      </c>
      <c r="AC25" s="132"/>
      <c r="AD25" s="132"/>
      <c r="AE25" s="132"/>
      <c r="AF25" s="132"/>
      <c r="AG25" s="132">
        <v>92.63</v>
      </c>
      <c r="AH25" s="132"/>
      <c r="AI25" s="132"/>
      <c r="AJ25" s="132">
        <v>107.75</v>
      </c>
      <c r="AK25" s="132"/>
      <c r="AL25" s="133"/>
    </row>
    <row r="26" spans="1:38" x14ac:dyDescent="0.35">
      <c r="A26" s="148">
        <v>33008</v>
      </c>
      <c r="B26" s="132">
        <v>457.46</v>
      </c>
      <c r="C26" s="132">
        <v>436.35</v>
      </c>
      <c r="D26" s="132">
        <v>207.37</v>
      </c>
      <c r="E26" s="132">
        <v>214.64</v>
      </c>
      <c r="F26" s="132">
        <v>259.55</v>
      </c>
      <c r="G26" s="126">
        <v>155.29</v>
      </c>
      <c r="H26" s="127">
        <v>154.47999999999999</v>
      </c>
      <c r="I26" s="132">
        <v>201.3</v>
      </c>
      <c r="J26" s="127">
        <v>220.82</v>
      </c>
      <c r="K26" s="127">
        <v>234.53</v>
      </c>
      <c r="L26" s="132">
        <v>210.36</v>
      </c>
      <c r="M26" s="127">
        <v>107.2</v>
      </c>
      <c r="N26" s="147"/>
      <c r="O26" s="126">
        <v>123.7</v>
      </c>
      <c r="P26" s="132"/>
      <c r="Q26" s="126">
        <v>128.37</v>
      </c>
      <c r="R26" s="135"/>
      <c r="S26" s="135"/>
      <c r="T26" s="132"/>
      <c r="U26" s="135"/>
      <c r="V26" s="132"/>
      <c r="W26" s="135"/>
      <c r="X26" s="135"/>
      <c r="Y26" s="135"/>
      <c r="Z26" s="132">
        <v>131.06</v>
      </c>
      <c r="AA26" s="132"/>
      <c r="AB26" s="132">
        <v>103.13</v>
      </c>
      <c r="AC26" s="132"/>
      <c r="AD26" s="132"/>
      <c r="AE26" s="132"/>
      <c r="AF26" s="132"/>
      <c r="AG26" s="132">
        <v>92.53</v>
      </c>
      <c r="AH26" s="132"/>
      <c r="AI26" s="132"/>
      <c r="AJ26" s="132">
        <v>107.6</v>
      </c>
      <c r="AK26" s="132"/>
      <c r="AL26" s="133"/>
    </row>
    <row r="27" spans="1:38" x14ac:dyDescent="0.35">
      <c r="A27" s="148">
        <v>33039</v>
      </c>
      <c r="B27" s="132">
        <v>454.76</v>
      </c>
      <c r="C27" s="132">
        <v>435.55</v>
      </c>
      <c r="D27" s="132">
        <v>205.69</v>
      </c>
      <c r="E27" s="132">
        <v>214.58</v>
      </c>
      <c r="F27" s="132">
        <v>259.64999999999998</v>
      </c>
      <c r="G27" s="126">
        <v>156.69</v>
      </c>
      <c r="H27" s="127">
        <v>155.58000000000001</v>
      </c>
      <c r="I27" s="132">
        <v>202.39</v>
      </c>
      <c r="J27" s="127">
        <v>221.12</v>
      </c>
      <c r="K27" s="127">
        <v>234.43</v>
      </c>
      <c r="L27" s="132">
        <v>209.63</v>
      </c>
      <c r="M27" s="127">
        <v>107</v>
      </c>
      <c r="N27" s="147"/>
      <c r="O27" s="126">
        <v>123.7</v>
      </c>
      <c r="P27" s="132"/>
      <c r="Q27" s="126">
        <v>128.57</v>
      </c>
      <c r="R27" s="135"/>
      <c r="S27" s="135"/>
      <c r="T27" s="132"/>
      <c r="U27" s="135"/>
      <c r="V27" s="132"/>
      <c r="W27" s="135"/>
      <c r="X27" s="135"/>
      <c r="Y27" s="135"/>
      <c r="Z27" s="132">
        <v>131.1</v>
      </c>
      <c r="AA27" s="132"/>
      <c r="AB27" s="132">
        <v>103.11</v>
      </c>
      <c r="AC27" s="132"/>
      <c r="AD27" s="132"/>
      <c r="AE27" s="132"/>
      <c r="AF27" s="132"/>
      <c r="AG27" s="132">
        <v>92.62</v>
      </c>
      <c r="AH27" s="132"/>
      <c r="AI27" s="132"/>
      <c r="AJ27" s="132">
        <v>107.46000000000001</v>
      </c>
      <c r="AK27" s="132"/>
      <c r="AL27" s="133"/>
    </row>
    <row r="28" spans="1:38" x14ac:dyDescent="0.35">
      <c r="A28" s="148">
        <v>33071</v>
      </c>
      <c r="B28" s="132">
        <v>457.46</v>
      </c>
      <c r="C28" s="132">
        <v>435.66</v>
      </c>
      <c r="D28" s="132">
        <v>205.3</v>
      </c>
      <c r="E28" s="132">
        <v>214.57</v>
      </c>
      <c r="F28" s="132">
        <v>259.35000000000002</v>
      </c>
      <c r="G28" s="126">
        <v>155.29</v>
      </c>
      <c r="H28" s="127">
        <v>155.08000000000001</v>
      </c>
      <c r="I28" s="132">
        <v>200.5</v>
      </c>
      <c r="J28" s="127">
        <v>220.72</v>
      </c>
      <c r="K28" s="127">
        <v>234.13</v>
      </c>
      <c r="L28" s="132">
        <v>209.93</v>
      </c>
      <c r="M28" s="127">
        <v>107.6</v>
      </c>
      <c r="N28" s="147">
        <v>136.36000000000001</v>
      </c>
      <c r="O28" s="126">
        <v>124.39</v>
      </c>
      <c r="P28" s="132"/>
      <c r="Q28" s="126">
        <v>119.87</v>
      </c>
      <c r="R28" s="135"/>
      <c r="S28" s="135"/>
      <c r="T28" s="132"/>
      <c r="U28" s="135"/>
      <c r="V28" s="132"/>
      <c r="W28" s="135"/>
      <c r="X28" s="135"/>
      <c r="Y28" s="135"/>
      <c r="Z28" s="132">
        <v>131</v>
      </c>
      <c r="AA28" s="132"/>
      <c r="AB28" s="132">
        <v>103.02</v>
      </c>
      <c r="AC28" s="132"/>
      <c r="AD28" s="132"/>
      <c r="AE28" s="132"/>
      <c r="AF28" s="132"/>
      <c r="AG28" s="132">
        <v>92.53</v>
      </c>
      <c r="AH28" s="132"/>
      <c r="AI28" s="132"/>
      <c r="AJ28" s="132">
        <v>107.21000000000001</v>
      </c>
      <c r="AK28" s="132"/>
      <c r="AL28" s="133"/>
    </row>
    <row r="29" spans="1:38" x14ac:dyDescent="0.35">
      <c r="A29" s="148">
        <v>33102</v>
      </c>
      <c r="B29" s="132">
        <v>456.66</v>
      </c>
      <c r="C29" s="132">
        <v>435.46</v>
      </c>
      <c r="D29" s="132">
        <v>205.6</v>
      </c>
      <c r="E29" s="132">
        <v>214.57</v>
      </c>
      <c r="F29" s="132">
        <v>259.75</v>
      </c>
      <c r="G29" s="126">
        <v>154.49</v>
      </c>
      <c r="H29" s="127">
        <v>154.88</v>
      </c>
      <c r="I29" s="132">
        <v>200.5</v>
      </c>
      <c r="J29" s="127">
        <v>221.52</v>
      </c>
      <c r="K29" s="127">
        <v>233.93</v>
      </c>
      <c r="L29" s="132">
        <v>209.93</v>
      </c>
      <c r="M29" s="127">
        <v>106.6</v>
      </c>
      <c r="N29" s="147"/>
      <c r="O29" s="126">
        <v>123.5</v>
      </c>
      <c r="P29" s="132"/>
      <c r="Q29" s="126">
        <v>121.97</v>
      </c>
      <c r="R29" s="135"/>
      <c r="S29" s="135"/>
      <c r="T29" s="132"/>
      <c r="U29" s="135"/>
      <c r="V29" s="132"/>
      <c r="W29" s="135"/>
      <c r="X29" s="135"/>
      <c r="Y29" s="135"/>
      <c r="Z29" s="132">
        <v>130.9</v>
      </c>
      <c r="AA29" s="132"/>
      <c r="AB29" s="132">
        <v>102.93</v>
      </c>
      <c r="AC29" s="132"/>
      <c r="AD29" s="132"/>
      <c r="AE29" s="132"/>
      <c r="AF29" s="132"/>
      <c r="AG29" s="132">
        <v>92.460000000000008</v>
      </c>
      <c r="AH29" s="132"/>
      <c r="AI29" s="132"/>
      <c r="AJ29" s="132">
        <v>107.09</v>
      </c>
      <c r="AK29" s="132"/>
      <c r="AL29" s="133"/>
    </row>
    <row r="30" spans="1:38" ht="15" thickBot="1" x14ac:dyDescent="0.4">
      <c r="A30" s="149">
        <v>33133</v>
      </c>
      <c r="B30" s="150">
        <v>457.46</v>
      </c>
      <c r="C30" s="150">
        <v>435.46</v>
      </c>
      <c r="D30" s="150">
        <v>205.6</v>
      </c>
      <c r="E30" s="150">
        <v>214.56</v>
      </c>
      <c r="F30" s="150">
        <v>259.95</v>
      </c>
      <c r="G30" s="151">
        <v>153.99</v>
      </c>
      <c r="H30" s="152">
        <v>154.08000000000001</v>
      </c>
      <c r="I30" s="150">
        <v>201.5</v>
      </c>
      <c r="J30" s="152">
        <v>220.82</v>
      </c>
      <c r="K30" s="152">
        <v>234.42</v>
      </c>
      <c r="L30" s="150">
        <v>210.43</v>
      </c>
      <c r="M30" s="152">
        <v>107.49</v>
      </c>
      <c r="N30" s="153"/>
      <c r="O30" s="151">
        <v>123.5</v>
      </c>
      <c r="P30" s="150"/>
      <c r="Q30" s="151">
        <v>123.37</v>
      </c>
      <c r="R30" s="150"/>
      <c r="S30" s="135"/>
      <c r="T30" s="132"/>
      <c r="U30" s="135"/>
      <c r="V30" s="132"/>
      <c r="W30" s="135"/>
      <c r="X30" s="135"/>
      <c r="Y30" s="135"/>
      <c r="Z30" s="132">
        <v>131.11000000000001</v>
      </c>
      <c r="AA30" s="132"/>
      <c r="AB30" s="132">
        <v>103.01</v>
      </c>
      <c r="AC30" s="132"/>
      <c r="AD30" s="132"/>
      <c r="AE30" s="132"/>
      <c r="AF30" s="132"/>
      <c r="AG30" s="132">
        <v>92.31</v>
      </c>
      <c r="AH30" s="132"/>
      <c r="AI30" s="132"/>
      <c r="AJ30" s="132">
        <v>107.25</v>
      </c>
      <c r="AK30" s="132"/>
      <c r="AL30" s="133"/>
    </row>
    <row r="31" spans="1:38" x14ac:dyDescent="0.35">
      <c r="A31" s="148">
        <v>33162</v>
      </c>
      <c r="B31" s="132">
        <v>456.91666666666669</v>
      </c>
      <c r="C31" s="132">
        <v>435.46</v>
      </c>
      <c r="D31" s="132">
        <v>207.87333333333333</v>
      </c>
      <c r="E31" s="132">
        <v>213.82</v>
      </c>
      <c r="F31" s="132">
        <v>263.2766666666667</v>
      </c>
      <c r="G31" s="126">
        <v>153.71666666666667</v>
      </c>
      <c r="H31" s="127">
        <v>153.93666666666667</v>
      </c>
      <c r="I31" s="132"/>
      <c r="J31" s="127">
        <v>224.21</v>
      </c>
      <c r="K31" s="127">
        <v>239.42333333333335</v>
      </c>
      <c r="L31" s="132">
        <v>212.54333333333335</v>
      </c>
      <c r="M31" s="127">
        <v>108.05000000000001</v>
      </c>
      <c r="N31" s="132"/>
      <c r="O31" s="126">
        <v>121.49000000000001</v>
      </c>
      <c r="P31" s="132"/>
      <c r="Q31" s="126">
        <v>124.05666666666666</v>
      </c>
      <c r="R31" s="135">
        <v>179.68</v>
      </c>
      <c r="S31" s="135"/>
      <c r="T31" s="132"/>
      <c r="U31" s="135"/>
      <c r="V31" s="132"/>
      <c r="W31" s="135"/>
      <c r="X31" s="135"/>
      <c r="Y31" s="135"/>
      <c r="Z31" s="132">
        <v>131.06</v>
      </c>
      <c r="AA31" s="132"/>
      <c r="AB31" s="132">
        <v>102.87</v>
      </c>
      <c r="AC31" s="132"/>
      <c r="AD31" s="132"/>
      <c r="AE31" s="132"/>
      <c r="AF31" s="132"/>
      <c r="AG31" s="132">
        <v>92.210000000000008</v>
      </c>
      <c r="AH31" s="132"/>
      <c r="AI31" s="132"/>
      <c r="AJ31" s="132">
        <v>107.09</v>
      </c>
      <c r="AK31" s="132"/>
      <c r="AL31" s="133"/>
    </row>
    <row r="32" spans="1:38" x14ac:dyDescent="0.35">
      <c r="A32" s="148">
        <v>33205</v>
      </c>
      <c r="B32" s="132">
        <v>456.75</v>
      </c>
      <c r="C32" s="132">
        <v>436</v>
      </c>
      <c r="D32" s="132">
        <v>207.04</v>
      </c>
      <c r="E32" s="132">
        <v>213.15333333333334</v>
      </c>
      <c r="F32" s="132">
        <v>263.36</v>
      </c>
      <c r="G32" s="126">
        <v>153.80000000000001</v>
      </c>
      <c r="H32" s="127">
        <v>153.52000000000001</v>
      </c>
      <c r="I32" s="132">
        <v>201.3</v>
      </c>
      <c r="J32" s="127">
        <v>222.62666666666667</v>
      </c>
      <c r="K32" s="127">
        <v>237.09</v>
      </c>
      <c r="L32" s="132">
        <v>211.87666666666667</v>
      </c>
      <c r="M32" s="127">
        <v>107.88333333333335</v>
      </c>
      <c r="N32" s="132"/>
      <c r="O32" s="126">
        <v>121.24000000000001</v>
      </c>
      <c r="P32" s="132"/>
      <c r="Q32" s="126">
        <v>123.88999999999999</v>
      </c>
      <c r="R32" s="170">
        <v>179.3</v>
      </c>
      <c r="S32" s="135"/>
      <c r="T32" s="132"/>
      <c r="U32" s="135"/>
      <c r="V32" s="132"/>
      <c r="W32" s="135"/>
      <c r="X32" s="135"/>
      <c r="Y32" s="135"/>
      <c r="Z32" s="132">
        <v>130.9</v>
      </c>
      <c r="AA32" s="132"/>
      <c r="AB32" s="132">
        <v>102.75</v>
      </c>
      <c r="AC32" s="132"/>
      <c r="AD32" s="132"/>
      <c r="AE32" s="132"/>
      <c r="AF32" s="132"/>
      <c r="AG32" s="132">
        <v>92.08</v>
      </c>
      <c r="AH32" s="132"/>
      <c r="AI32" s="132"/>
      <c r="AJ32" s="132">
        <v>106.72999999999999</v>
      </c>
      <c r="AK32" s="132"/>
      <c r="AL32" s="133"/>
    </row>
    <row r="33" spans="1:38" x14ac:dyDescent="0.35">
      <c r="A33" s="148">
        <v>33225</v>
      </c>
      <c r="B33" s="132">
        <v>456.83333333333331</v>
      </c>
      <c r="C33" s="132">
        <v>433</v>
      </c>
      <c r="D33" s="132">
        <v>206.95666666666665</v>
      </c>
      <c r="E33" s="132">
        <v>213.07</v>
      </c>
      <c r="F33" s="132">
        <v>263.11</v>
      </c>
      <c r="G33" s="126">
        <v>155.80000000000001</v>
      </c>
      <c r="H33" s="127">
        <v>153.43666666666667</v>
      </c>
      <c r="I33" s="132">
        <v>210.13333333333335</v>
      </c>
      <c r="J33" s="127">
        <v>222.04333333333335</v>
      </c>
      <c r="K33" s="127">
        <v>236.67333333333335</v>
      </c>
      <c r="L33" s="132">
        <v>211.29333333333335</v>
      </c>
      <c r="M33" s="127">
        <v>108.38333333333335</v>
      </c>
      <c r="N33" s="132">
        <v>139.65666666666667</v>
      </c>
      <c r="O33" s="126">
        <v>121.99000000000001</v>
      </c>
      <c r="P33" s="132"/>
      <c r="Q33" s="126">
        <v>127.72333333333331</v>
      </c>
      <c r="R33" s="170">
        <v>179.3</v>
      </c>
      <c r="S33" s="135"/>
      <c r="T33" s="132"/>
      <c r="U33" s="135"/>
      <c r="V33" s="132"/>
      <c r="W33" s="135"/>
      <c r="X33" s="135"/>
      <c r="Y33" s="135"/>
      <c r="Z33" s="132">
        <v>130.9</v>
      </c>
      <c r="AA33" s="132"/>
      <c r="AB33" s="132">
        <v>102.6</v>
      </c>
      <c r="AC33" s="132"/>
      <c r="AD33" s="132"/>
      <c r="AE33" s="132"/>
      <c r="AF33" s="132"/>
      <c r="AG33" s="132">
        <v>92</v>
      </c>
      <c r="AH33" s="132"/>
      <c r="AI33" s="132"/>
      <c r="AJ33" s="132">
        <v>106.59</v>
      </c>
      <c r="AK33" s="132"/>
      <c r="AL33" s="133"/>
    </row>
    <row r="34" spans="1:38" x14ac:dyDescent="0.35">
      <c r="A34" s="148">
        <v>33253</v>
      </c>
      <c r="B34" s="132">
        <v>457</v>
      </c>
      <c r="C34" s="132">
        <v>432.91666666666669</v>
      </c>
      <c r="D34" s="132">
        <v>207.04</v>
      </c>
      <c r="E34" s="132">
        <v>212.90333333333334</v>
      </c>
      <c r="F34" s="132">
        <v>263.2766666666667</v>
      </c>
      <c r="G34" s="126">
        <v>155.80000000000001</v>
      </c>
      <c r="H34" s="127">
        <v>153.43666666666667</v>
      </c>
      <c r="I34" s="132">
        <v>209.21666666666667</v>
      </c>
      <c r="J34" s="127">
        <v>222.29333333333335</v>
      </c>
      <c r="K34" s="127">
        <v>236.75666666666666</v>
      </c>
      <c r="L34" s="132">
        <v>210.54333333333335</v>
      </c>
      <c r="M34" s="127">
        <v>108.80000000000001</v>
      </c>
      <c r="N34" s="132">
        <v>139.82333333333335</v>
      </c>
      <c r="O34" s="126">
        <v>123.07333333333335</v>
      </c>
      <c r="P34" s="132"/>
      <c r="Q34" s="126">
        <v>127.88999999999999</v>
      </c>
      <c r="R34" s="170">
        <v>179.3</v>
      </c>
      <c r="S34" s="135"/>
      <c r="T34" s="132"/>
      <c r="U34" s="135"/>
      <c r="V34" s="132"/>
      <c r="W34" s="135"/>
      <c r="X34" s="135"/>
      <c r="Y34" s="135"/>
      <c r="Z34" s="132">
        <v>131.46</v>
      </c>
      <c r="AA34" s="132"/>
      <c r="AB34" s="132">
        <v>102.62</v>
      </c>
      <c r="AC34" s="132"/>
      <c r="AD34" s="132"/>
      <c r="AE34" s="132"/>
      <c r="AF34" s="132"/>
      <c r="AG34" s="132">
        <v>92.9</v>
      </c>
      <c r="AH34" s="132"/>
      <c r="AI34" s="132"/>
      <c r="AJ34" s="132">
        <v>106.42</v>
      </c>
      <c r="AK34" s="132"/>
      <c r="AL34" s="133"/>
    </row>
    <row r="35" spans="1:38" x14ac:dyDescent="0.35">
      <c r="A35" s="148">
        <v>33283</v>
      </c>
      <c r="B35" s="132">
        <v>456.91666666666669</v>
      </c>
      <c r="C35" s="132">
        <v>432.91666666666669</v>
      </c>
      <c r="D35" s="132">
        <v>207.12333333333333</v>
      </c>
      <c r="E35" s="132">
        <v>213.73666666666665</v>
      </c>
      <c r="F35" s="132">
        <v>263.36</v>
      </c>
      <c r="G35" s="126">
        <v>155.80000000000001</v>
      </c>
      <c r="H35" s="127">
        <v>154.85333333333335</v>
      </c>
      <c r="I35" s="132">
        <v>207.3</v>
      </c>
      <c r="J35" s="127">
        <v>222.37666666666667</v>
      </c>
      <c r="K35" s="127">
        <v>237.75666666666666</v>
      </c>
      <c r="L35" s="132">
        <v>211.37666666666667</v>
      </c>
      <c r="M35" s="127">
        <v>108.96666666666667</v>
      </c>
      <c r="N35" s="132">
        <v>139.65666666666667</v>
      </c>
      <c r="O35" s="126">
        <v>123.40666666666667</v>
      </c>
      <c r="P35" s="132"/>
      <c r="Q35" s="126">
        <v>128.13999999999999</v>
      </c>
      <c r="R35" s="170">
        <v>179.3</v>
      </c>
      <c r="S35" s="135"/>
      <c r="T35" s="132"/>
      <c r="U35" s="135"/>
      <c r="V35" s="132"/>
      <c r="W35" s="135"/>
      <c r="X35" s="135"/>
      <c r="Y35" s="135"/>
      <c r="Z35" s="132">
        <v>131.47999999999999</v>
      </c>
      <c r="AA35" s="132"/>
      <c r="AB35" s="132">
        <v>103.92</v>
      </c>
      <c r="AC35" s="132"/>
      <c r="AD35" s="132"/>
      <c r="AE35" s="132"/>
      <c r="AF35" s="132"/>
      <c r="AG35" s="132">
        <v>92.44</v>
      </c>
      <c r="AH35" s="132"/>
      <c r="AI35" s="132"/>
      <c r="AJ35" s="132">
        <v>106.81</v>
      </c>
      <c r="AK35" s="132"/>
      <c r="AL35" s="133"/>
    </row>
    <row r="36" spans="1:38" x14ac:dyDescent="0.35">
      <c r="A36" s="148">
        <v>33311</v>
      </c>
      <c r="B36" s="132">
        <v>456.66666666666669</v>
      </c>
      <c r="C36" s="132">
        <v>432.66666666666669</v>
      </c>
      <c r="D36" s="132">
        <v>206.95666666666665</v>
      </c>
      <c r="E36" s="132">
        <v>213.40333333333334</v>
      </c>
      <c r="F36" s="132">
        <v>263.7766666666667</v>
      </c>
      <c r="G36" s="126">
        <v>156.63333333333335</v>
      </c>
      <c r="H36" s="127">
        <v>156.85333333333335</v>
      </c>
      <c r="I36" s="132">
        <v>205.8</v>
      </c>
      <c r="J36" s="127">
        <v>222.37666666666667</v>
      </c>
      <c r="K36" s="127">
        <v>243.75666666666666</v>
      </c>
      <c r="L36" s="132">
        <v>211.04333333333335</v>
      </c>
      <c r="M36" s="127">
        <v>107.88333333333335</v>
      </c>
      <c r="N36" s="132">
        <v>140.99</v>
      </c>
      <c r="O36" s="126">
        <v>121.07333333333335</v>
      </c>
      <c r="P36" s="132"/>
      <c r="Q36" s="126">
        <v>129.05666666666667</v>
      </c>
      <c r="R36" s="170">
        <v>179.3</v>
      </c>
      <c r="S36" s="135"/>
      <c r="T36" s="132"/>
      <c r="U36" s="135"/>
      <c r="V36" s="132"/>
      <c r="W36" s="135"/>
      <c r="X36" s="135"/>
      <c r="Y36" s="135"/>
      <c r="Z36" s="132"/>
      <c r="AA36" s="132"/>
      <c r="AB36" s="132"/>
      <c r="AC36" s="132"/>
      <c r="AD36" s="132"/>
      <c r="AE36" s="132"/>
      <c r="AF36" s="132"/>
      <c r="AG36" s="132"/>
      <c r="AH36" s="132"/>
      <c r="AI36" s="132"/>
      <c r="AJ36" s="132"/>
      <c r="AK36" s="132"/>
      <c r="AL36" s="133"/>
    </row>
    <row r="37" spans="1:38" x14ac:dyDescent="0.35">
      <c r="A37" s="148">
        <v>33345</v>
      </c>
      <c r="B37" s="132">
        <v>457.25</v>
      </c>
      <c r="C37" s="132">
        <v>434.66666666666669</v>
      </c>
      <c r="D37" s="132">
        <v>207.04</v>
      </c>
      <c r="E37" s="132">
        <v>212.82</v>
      </c>
      <c r="F37" s="132">
        <v>267.7766666666667</v>
      </c>
      <c r="G37" s="126">
        <v>155.80000000000001</v>
      </c>
      <c r="H37" s="127">
        <v>155.68666666666667</v>
      </c>
      <c r="I37" s="132">
        <v>200.5</v>
      </c>
      <c r="J37" s="127">
        <v>222.62666666666667</v>
      </c>
      <c r="K37" s="127">
        <v>238.75666666666666</v>
      </c>
      <c r="L37" s="132">
        <v>212.37666666666667</v>
      </c>
      <c r="M37" s="127">
        <v>108.13333333333335</v>
      </c>
      <c r="N37" s="132"/>
      <c r="O37" s="126">
        <v>121.99000000000001</v>
      </c>
      <c r="P37" s="132"/>
      <c r="Q37" s="126">
        <v>128.55666666666667</v>
      </c>
      <c r="R37" s="170">
        <v>179.3</v>
      </c>
      <c r="S37" s="135"/>
      <c r="T37" s="132"/>
      <c r="U37" s="135"/>
      <c r="V37" s="132"/>
      <c r="W37" s="135"/>
      <c r="X37" s="135"/>
      <c r="Y37" s="135"/>
      <c r="Z37" s="132">
        <v>131</v>
      </c>
      <c r="AA37" s="132"/>
      <c r="AB37" s="132">
        <v>102.57</v>
      </c>
      <c r="AC37" s="132"/>
      <c r="AD37" s="132"/>
      <c r="AE37" s="132"/>
      <c r="AF37" s="132"/>
      <c r="AG37" s="132">
        <v>92.06</v>
      </c>
      <c r="AH37" s="132"/>
      <c r="AI37" s="132"/>
      <c r="AJ37" s="132">
        <v>106.69</v>
      </c>
      <c r="AK37" s="132"/>
      <c r="AL37" s="133"/>
    </row>
    <row r="38" spans="1:38" x14ac:dyDescent="0.35">
      <c r="A38" s="148">
        <v>33376</v>
      </c>
      <c r="B38" s="132">
        <v>457.66666666666669</v>
      </c>
      <c r="C38" s="132">
        <v>435</v>
      </c>
      <c r="D38" s="132">
        <v>207.04</v>
      </c>
      <c r="E38" s="132">
        <v>213.73666666666665</v>
      </c>
      <c r="F38" s="132">
        <v>267.69333333333333</v>
      </c>
      <c r="G38" s="126">
        <v>155.80000000000001</v>
      </c>
      <c r="H38" s="127">
        <v>155.85333333333335</v>
      </c>
      <c r="I38" s="132">
        <v>200.5</v>
      </c>
      <c r="J38" s="127">
        <v>222.79333333333335</v>
      </c>
      <c r="K38" s="127">
        <v>238.92333333333335</v>
      </c>
      <c r="L38" s="132">
        <v>212.29333333333335</v>
      </c>
      <c r="M38" s="127">
        <v>108.13333333333335</v>
      </c>
      <c r="N38" s="132"/>
      <c r="O38" s="126">
        <v>122.99000000000001</v>
      </c>
      <c r="P38" s="132"/>
      <c r="Q38" s="126">
        <v>128.63999999999999</v>
      </c>
      <c r="R38" s="170">
        <v>179.3</v>
      </c>
      <c r="S38" s="135"/>
      <c r="T38" s="132"/>
      <c r="U38" s="135"/>
      <c r="V38" s="132"/>
      <c r="W38" s="135"/>
      <c r="X38" s="135"/>
      <c r="Y38" s="135"/>
      <c r="Z38" s="132">
        <v>131</v>
      </c>
      <c r="AA38" s="132"/>
      <c r="AB38" s="132">
        <v>102.59</v>
      </c>
      <c r="AC38" s="132"/>
      <c r="AD38" s="132"/>
      <c r="AE38" s="132"/>
      <c r="AF38" s="132"/>
      <c r="AG38" s="132">
        <v>92.2</v>
      </c>
      <c r="AH38" s="132"/>
      <c r="AI38" s="132"/>
      <c r="AJ38" s="132">
        <v>107.02000000000001</v>
      </c>
      <c r="AK38" s="132"/>
      <c r="AL38" s="133"/>
    </row>
    <row r="39" spans="1:38" x14ac:dyDescent="0.35">
      <c r="A39" s="148">
        <v>33408</v>
      </c>
      <c r="B39" s="132">
        <v>458</v>
      </c>
      <c r="C39" s="132">
        <v>435</v>
      </c>
      <c r="D39" s="132">
        <v>206.95666666666665</v>
      </c>
      <c r="E39" s="132">
        <v>213.82</v>
      </c>
      <c r="F39" s="132">
        <v>267.7766666666667</v>
      </c>
      <c r="G39" s="126">
        <v>155.80000000000001</v>
      </c>
      <c r="H39" s="127">
        <v>155.85333333333335</v>
      </c>
      <c r="I39" s="132">
        <v>200.5</v>
      </c>
      <c r="J39" s="127">
        <v>222.71</v>
      </c>
      <c r="K39" s="127">
        <v>239.09</v>
      </c>
      <c r="L39" s="132">
        <v>212.21</v>
      </c>
      <c r="M39" s="127">
        <v>108.96666666666667</v>
      </c>
      <c r="N39" s="132"/>
      <c r="O39" s="126">
        <v>123.07333333333335</v>
      </c>
      <c r="P39" s="132"/>
      <c r="Q39" s="126">
        <v>128.63999999999999</v>
      </c>
      <c r="R39" s="170">
        <v>179.3</v>
      </c>
      <c r="S39" s="135"/>
      <c r="T39" s="132"/>
      <c r="U39" s="135"/>
      <c r="V39" s="132"/>
      <c r="W39" s="135"/>
      <c r="X39" s="135"/>
      <c r="Y39" s="135"/>
      <c r="Z39" s="132">
        <v>129.47</v>
      </c>
      <c r="AA39" s="132"/>
      <c r="AB39" s="132">
        <v>102.72</v>
      </c>
      <c r="AC39" s="132"/>
      <c r="AD39" s="132"/>
      <c r="AE39" s="132"/>
      <c r="AF39" s="132"/>
      <c r="AG39" s="132">
        <v>90.75</v>
      </c>
      <c r="AH39" s="132"/>
      <c r="AI39" s="132"/>
      <c r="AJ39" s="132">
        <v>105.57</v>
      </c>
      <c r="AK39" s="132"/>
      <c r="AL39" s="133"/>
    </row>
    <row r="40" spans="1:38" x14ac:dyDescent="0.35">
      <c r="A40" s="148">
        <v>33437</v>
      </c>
      <c r="B40" s="132">
        <v>458</v>
      </c>
      <c r="C40" s="132">
        <v>435.25</v>
      </c>
      <c r="D40" s="132">
        <v>207.04</v>
      </c>
      <c r="E40" s="132">
        <v>214.23666666666665</v>
      </c>
      <c r="F40" s="132">
        <v>267.7766666666667</v>
      </c>
      <c r="G40" s="126">
        <v>155.80000000000001</v>
      </c>
      <c r="H40" s="127">
        <v>155.85333333333335</v>
      </c>
      <c r="I40" s="132">
        <v>200.5</v>
      </c>
      <c r="J40" s="127">
        <v>222.71</v>
      </c>
      <c r="K40" s="127">
        <v>239.09</v>
      </c>
      <c r="L40" s="132">
        <v>212.29333333333335</v>
      </c>
      <c r="M40" s="127">
        <v>108.96666666666667</v>
      </c>
      <c r="N40" s="132"/>
      <c r="O40" s="126">
        <v>123.07333333333335</v>
      </c>
      <c r="P40" s="132"/>
      <c r="Q40" s="126">
        <v>128.63999999999999</v>
      </c>
      <c r="R40" s="170">
        <v>179.3</v>
      </c>
      <c r="S40" s="135"/>
      <c r="T40" s="132"/>
      <c r="U40" s="135"/>
      <c r="V40" s="132"/>
      <c r="W40" s="135"/>
      <c r="X40" s="135"/>
      <c r="Y40" s="135"/>
      <c r="Z40" s="132">
        <v>130.5</v>
      </c>
      <c r="AA40" s="132"/>
      <c r="AB40" s="132">
        <v>102.25</v>
      </c>
      <c r="AC40" s="132"/>
      <c r="AD40" s="132"/>
      <c r="AE40" s="132"/>
      <c r="AF40" s="132"/>
      <c r="AG40" s="132">
        <v>92.240000000000009</v>
      </c>
      <c r="AH40" s="132"/>
      <c r="AI40" s="132"/>
      <c r="AJ40" s="132">
        <v>107.14</v>
      </c>
      <c r="AK40" s="132"/>
      <c r="AL40" s="133"/>
    </row>
    <row r="41" spans="1:38" x14ac:dyDescent="0.35">
      <c r="A41" s="148">
        <v>33467</v>
      </c>
      <c r="B41" s="132">
        <v>459.75</v>
      </c>
      <c r="C41" s="132">
        <v>435.25</v>
      </c>
      <c r="D41" s="132">
        <v>207.04</v>
      </c>
      <c r="E41" s="132">
        <v>214.23666666666665</v>
      </c>
      <c r="F41" s="132">
        <v>266.5266666666667</v>
      </c>
      <c r="G41" s="126">
        <v>155.38333333333335</v>
      </c>
      <c r="H41" s="127">
        <v>155.43666666666667</v>
      </c>
      <c r="I41" s="132">
        <v>200.5</v>
      </c>
      <c r="J41" s="127">
        <v>222.71</v>
      </c>
      <c r="K41" s="127">
        <v>238.25666666666666</v>
      </c>
      <c r="L41" s="132">
        <v>212.29333333333335</v>
      </c>
      <c r="M41" s="127">
        <v>108.30000000000001</v>
      </c>
      <c r="N41" s="132"/>
      <c r="O41" s="126">
        <v>122.99000000000001</v>
      </c>
      <c r="P41" s="132"/>
      <c r="Q41" s="126">
        <v>129.63999999999999</v>
      </c>
      <c r="R41" s="170">
        <v>179.3</v>
      </c>
      <c r="S41" s="135"/>
      <c r="T41" s="132"/>
      <c r="U41" s="135"/>
      <c r="V41" s="132"/>
      <c r="W41" s="135"/>
      <c r="X41" s="135"/>
      <c r="Y41" s="135"/>
      <c r="Z41" s="132">
        <v>130.69999999999999</v>
      </c>
      <c r="AA41" s="132"/>
      <c r="AB41" s="132">
        <v>105.7</v>
      </c>
      <c r="AC41" s="132"/>
      <c r="AD41" s="132"/>
      <c r="AE41" s="132"/>
      <c r="AF41" s="132"/>
      <c r="AG41" s="132">
        <v>92.1</v>
      </c>
      <c r="AH41" s="132"/>
      <c r="AI41" s="132"/>
      <c r="AJ41" s="132">
        <v>107.2</v>
      </c>
      <c r="AK41" s="132"/>
      <c r="AL41" s="133"/>
    </row>
    <row r="42" spans="1:38" x14ac:dyDescent="0.35">
      <c r="A42" s="148">
        <v>33499</v>
      </c>
      <c r="B42" s="132">
        <v>463</v>
      </c>
      <c r="C42" s="132">
        <v>435</v>
      </c>
      <c r="D42" s="132">
        <v>206.95666666666665</v>
      </c>
      <c r="E42" s="132">
        <v>212.90333333333334</v>
      </c>
      <c r="F42" s="132">
        <v>264.11</v>
      </c>
      <c r="G42" s="126">
        <v>155.71666666666667</v>
      </c>
      <c r="H42" s="127">
        <v>155.02000000000001</v>
      </c>
      <c r="I42" s="132">
        <v>200.5</v>
      </c>
      <c r="J42" s="127">
        <v>222.29333333333335</v>
      </c>
      <c r="K42" s="127">
        <v>237.25666666666666</v>
      </c>
      <c r="L42" s="132">
        <v>211.96</v>
      </c>
      <c r="M42" s="127">
        <v>108.38333333333335</v>
      </c>
      <c r="N42" s="132"/>
      <c r="O42" s="126">
        <v>122.74000000000001</v>
      </c>
      <c r="P42" s="132"/>
      <c r="Q42" s="126">
        <v>130.38999999999999</v>
      </c>
      <c r="R42" s="170">
        <v>179.3</v>
      </c>
      <c r="S42" s="135"/>
      <c r="T42" s="132"/>
      <c r="U42" s="135"/>
      <c r="V42" s="132"/>
      <c r="W42" s="135"/>
      <c r="X42" s="135"/>
      <c r="Y42" s="135"/>
      <c r="Z42" s="132">
        <v>131.36000000000001</v>
      </c>
      <c r="AA42" s="132"/>
      <c r="AB42" s="132">
        <v>102.72</v>
      </c>
      <c r="AC42" s="132"/>
      <c r="AD42" s="132"/>
      <c r="AE42" s="132"/>
      <c r="AF42" s="132"/>
      <c r="AG42" s="132">
        <v>92.43</v>
      </c>
      <c r="AH42" s="132"/>
      <c r="AI42" s="132"/>
      <c r="AJ42" s="132">
        <v>107.56</v>
      </c>
      <c r="AK42" s="132"/>
      <c r="AL42" s="133"/>
    </row>
    <row r="43" spans="1:38" x14ac:dyDescent="0.35">
      <c r="A43" s="148">
        <v>33532</v>
      </c>
      <c r="B43" s="132">
        <v>463.34000000000003</v>
      </c>
      <c r="C43" s="132">
        <v>434.08333333333331</v>
      </c>
      <c r="D43" s="132">
        <v>206.54</v>
      </c>
      <c r="E43" s="132">
        <v>213.15333333333334</v>
      </c>
      <c r="F43" s="132">
        <v>264.44</v>
      </c>
      <c r="G43" s="126">
        <v>155.14000000000001</v>
      </c>
      <c r="H43" s="127">
        <v>155.02000000000001</v>
      </c>
      <c r="I43" s="132">
        <v>200.5</v>
      </c>
      <c r="J43" s="127">
        <v>222.21</v>
      </c>
      <c r="K43" s="127">
        <v>236.92000000000002</v>
      </c>
      <c r="L43" s="132">
        <v>211.87666666666667</v>
      </c>
      <c r="M43" s="127">
        <v>108.80000000000001</v>
      </c>
      <c r="N43" s="132"/>
      <c r="O43" s="126">
        <v>122.82000000000001</v>
      </c>
      <c r="P43" s="132"/>
      <c r="Q43" s="126">
        <v>130.46999999999997</v>
      </c>
      <c r="R43" s="170">
        <v>179.3</v>
      </c>
      <c r="S43" s="135"/>
      <c r="T43" s="132"/>
      <c r="U43" s="135"/>
      <c r="V43" s="132"/>
      <c r="W43" s="135"/>
      <c r="X43" s="135"/>
      <c r="Y43" s="135"/>
      <c r="Z43" s="132">
        <v>130.94999999999999</v>
      </c>
      <c r="AA43" s="132"/>
      <c r="AB43" s="132">
        <v>102.22999999999999</v>
      </c>
      <c r="AC43" s="132"/>
      <c r="AD43" s="132"/>
      <c r="AE43" s="132"/>
      <c r="AF43" s="132"/>
      <c r="AG43" s="132">
        <v>91.9</v>
      </c>
      <c r="AH43" s="132"/>
      <c r="AI43" s="132"/>
      <c r="AJ43" s="132">
        <v>106.92</v>
      </c>
      <c r="AK43" s="132"/>
      <c r="AL43" s="133"/>
    </row>
    <row r="44" spans="1:38" x14ac:dyDescent="0.35">
      <c r="A44" s="148">
        <v>33562</v>
      </c>
      <c r="B44" s="132">
        <v>463.92</v>
      </c>
      <c r="C44" s="132">
        <v>434.25</v>
      </c>
      <c r="D44" s="132">
        <v>206.87</v>
      </c>
      <c r="E44" s="132">
        <v>213.16</v>
      </c>
      <c r="F44" s="132">
        <v>264.78000000000003</v>
      </c>
      <c r="G44" s="126">
        <v>155.30000000000001</v>
      </c>
      <c r="H44" s="127">
        <v>155.02000000000001</v>
      </c>
      <c r="I44" s="132">
        <v>200.5</v>
      </c>
      <c r="J44" s="127">
        <v>222.13</v>
      </c>
      <c r="K44" s="127">
        <v>236.76</v>
      </c>
      <c r="L44" s="132">
        <v>212.29000000000002</v>
      </c>
      <c r="M44" s="127">
        <v>108.55000000000001</v>
      </c>
      <c r="N44" s="132"/>
      <c r="O44" s="126">
        <v>122.91000000000001</v>
      </c>
      <c r="P44" s="132"/>
      <c r="Q44" s="126">
        <v>130.63999999999999</v>
      </c>
      <c r="R44" s="170">
        <v>179.3</v>
      </c>
      <c r="S44" s="135"/>
      <c r="T44" s="132"/>
      <c r="U44" s="135"/>
      <c r="V44" s="132"/>
      <c r="W44" s="135"/>
      <c r="X44" s="135"/>
      <c r="Y44" s="135"/>
      <c r="Z44" s="132">
        <v>131.03</v>
      </c>
      <c r="AA44" s="132"/>
      <c r="AB44" s="132">
        <v>102.17</v>
      </c>
      <c r="AC44" s="132"/>
      <c r="AD44" s="132"/>
      <c r="AE44" s="132"/>
      <c r="AF44" s="132"/>
      <c r="AG44" s="132">
        <v>91.86</v>
      </c>
      <c r="AH44" s="132"/>
      <c r="AI44" s="132"/>
      <c r="AJ44" s="132">
        <v>106.8</v>
      </c>
      <c r="AK44" s="132"/>
      <c r="AL44" s="133"/>
    </row>
    <row r="45" spans="1:38" x14ac:dyDescent="0.35">
      <c r="A45" s="148">
        <v>33590</v>
      </c>
      <c r="B45" s="132">
        <v>464</v>
      </c>
      <c r="C45" s="132">
        <v>434.34</v>
      </c>
      <c r="D45" s="132">
        <v>207.04</v>
      </c>
      <c r="E45" s="132">
        <v>213.24</v>
      </c>
      <c r="F45" s="132">
        <v>264.61</v>
      </c>
      <c r="G45" s="126">
        <v>155.38</v>
      </c>
      <c r="H45" s="127">
        <v>155.02000000000001</v>
      </c>
      <c r="I45" s="132">
        <v>200.5</v>
      </c>
      <c r="J45" s="127">
        <v>222.29000000000002</v>
      </c>
      <c r="K45" s="127">
        <v>236.59</v>
      </c>
      <c r="L45" s="132">
        <v>212.54000000000002</v>
      </c>
      <c r="M45" s="127">
        <v>108.63000000000001</v>
      </c>
      <c r="N45" s="132"/>
      <c r="O45" s="126">
        <v>122.82000000000001</v>
      </c>
      <c r="P45" s="132"/>
      <c r="Q45" s="126">
        <v>130.46999999999997</v>
      </c>
      <c r="R45" s="170">
        <v>179.3</v>
      </c>
      <c r="S45" s="135"/>
      <c r="T45" s="132"/>
      <c r="U45" s="135"/>
      <c r="V45" s="132"/>
      <c r="W45" s="135"/>
      <c r="X45" s="135"/>
      <c r="Y45" s="135"/>
      <c r="Z45" s="132">
        <v>131</v>
      </c>
      <c r="AA45" s="132"/>
      <c r="AB45" s="132">
        <v>102.22</v>
      </c>
      <c r="AC45" s="132"/>
      <c r="AD45" s="132"/>
      <c r="AE45" s="132"/>
      <c r="AF45" s="132"/>
      <c r="AG45" s="132">
        <v>91.81</v>
      </c>
      <c r="AH45" s="132"/>
      <c r="AI45" s="132"/>
      <c r="AJ45" s="132">
        <v>106.63</v>
      </c>
      <c r="AK45" s="132"/>
      <c r="AL45" s="133"/>
    </row>
    <row r="46" spans="1:38" x14ac:dyDescent="0.35">
      <c r="A46" s="148">
        <v>33628</v>
      </c>
      <c r="B46" s="132">
        <v>464.08</v>
      </c>
      <c r="C46" s="132">
        <v>434.83</v>
      </c>
      <c r="D46" s="132">
        <v>207.20999999999998</v>
      </c>
      <c r="E46" s="132">
        <v>213.07</v>
      </c>
      <c r="F46" s="132">
        <v>264.06</v>
      </c>
      <c r="G46" s="126">
        <v>155.63</v>
      </c>
      <c r="H46" s="127">
        <v>155.02000000000001</v>
      </c>
      <c r="I46" s="132">
        <v>200.5</v>
      </c>
      <c r="J46" s="127">
        <v>222.54000000000002</v>
      </c>
      <c r="K46" s="127">
        <v>236.84</v>
      </c>
      <c r="L46" s="132">
        <v>212.96</v>
      </c>
      <c r="M46" s="127">
        <v>109.05000000000001</v>
      </c>
      <c r="N46" s="132">
        <v>136.82</v>
      </c>
      <c r="O46" s="126">
        <v>122.19000000000001</v>
      </c>
      <c r="P46" s="132"/>
      <c r="Q46" s="126">
        <v>130.63999999999999</v>
      </c>
      <c r="R46" s="170">
        <v>179.3</v>
      </c>
      <c r="S46" s="135"/>
      <c r="T46" s="132"/>
      <c r="U46" s="135"/>
      <c r="V46" s="132"/>
      <c r="W46" s="135"/>
      <c r="X46" s="135"/>
      <c r="Y46" s="135"/>
      <c r="Z46" s="132">
        <v>131</v>
      </c>
      <c r="AA46" s="132"/>
      <c r="AB46" s="132">
        <v>102.13</v>
      </c>
      <c r="AC46" s="132"/>
      <c r="AD46" s="132"/>
      <c r="AE46" s="132"/>
      <c r="AF46" s="132"/>
      <c r="AG46" s="132">
        <v>91.72999999999999</v>
      </c>
      <c r="AH46" s="132"/>
      <c r="AI46" s="132"/>
      <c r="AJ46" s="132">
        <v>106.58</v>
      </c>
      <c r="AK46" s="132"/>
      <c r="AL46" s="133"/>
    </row>
    <row r="47" spans="1:38" x14ac:dyDescent="0.35">
      <c r="A47" s="148">
        <v>33659</v>
      </c>
      <c r="B47" s="132">
        <v>457.25</v>
      </c>
      <c r="C47" s="132">
        <v>438.5</v>
      </c>
      <c r="D47" s="132">
        <v>207.54</v>
      </c>
      <c r="E47" s="132">
        <v>210.24</v>
      </c>
      <c r="F47" s="132">
        <v>271.69</v>
      </c>
      <c r="G47" s="126">
        <v>171.14000000000001</v>
      </c>
      <c r="H47" s="127">
        <v>163.02000000000001</v>
      </c>
      <c r="I47" s="132">
        <v>211.47</v>
      </c>
      <c r="J47" s="127">
        <v>224.63</v>
      </c>
      <c r="K47" s="127">
        <v>243.84</v>
      </c>
      <c r="L47" s="132">
        <v>213.71</v>
      </c>
      <c r="M47" s="127">
        <v>109.05000000000001</v>
      </c>
      <c r="N47" s="132">
        <v>142.82</v>
      </c>
      <c r="O47" s="126">
        <v>122.99000000000001</v>
      </c>
      <c r="P47" s="132"/>
      <c r="Q47" s="126">
        <v>134.38999999999999</v>
      </c>
      <c r="R47" s="170">
        <v>179.3</v>
      </c>
      <c r="S47" s="135"/>
      <c r="T47" s="132"/>
      <c r="U47" s="135"/>
      <c r="V47" s="132"/>
      <c r="W47" s="135"/>
      <c r="X47" s="135"/>
      <c r="Y47" s="135"/>
      <c r="Z47" s="132">
        <v>133.72</v>
      </c>
      <c r="AA47" s="132">
        <v>131.72</v>
      </c>
      <c r="AB47" s="132">
        <v>102.05</v>
      </c>
      <c r="AC47" s="132"/>
      <c r="AD47" s="132"/>
      <c r="AE47" s="132"/>
      <c r="AF47" s="132"/>
      <c r="AG47" s="132">
        <v>91.69</v>
      </c>
      <c r="AH47" s="132"/>
      <c r="AI47" s="132"/>
      <c r="AJ47" s="132">
        <v>106.7</v>
      </c>
      <c r="AK47" s="132"/>
      <c r="AL47" s="133"/>
    </row>
    <row r="48" spans="1:38" x14ac:dyDescent="0.35">
      <c r="A48" s="148">
        <v>33688</v>
      </c>
      <c r="B48" s="132">
        <v>457.42</v>
      </c>
      <c r="C48" s="132">
        <v>437</v>
      </c>
      <c r="D48" s="132">
        <v>208.87</v>
      </c>
      <c r="E48" s="132">
        <v>216.57</v>
      </c>
      <c r="F48" s="132">
        <v>266.69</v>
      </c>
      <c r="G48" s="126">
        <v>172.3</v>
      </c>
      <c r="H48" s="127">
        <v>161.77000000000001</v>
      </c>
      <c r="I48" s="132">
        <v>204.3</v>
      </c>
      <c r="J48" s="127">
        <v>225.05</v>
      </c>
      <c r="K48" s="127">
        <v>240.67000000000002</v>
      </c>
      <c r="L48" s="132">
        <v>213.46</v>
      </c>
      <c r="M48" s="127">
        <v>112.96000000000001</v>
      </c>
      <c r="N48" s="132"/>
      <c r="O48" s="126">
        <v>126.99000000000001</v>
      </c>
      <c r="P48" s="132"/>
      <c r="Q48" s="126">
        <v>135.46999999999997</v>
      </c>
      <c r="R48" s="170">
        <v>179.3</v>
      </c>
      <c r="S48" s="135"/>
      <c r="T48" s="132"/>
      <c r="U48" s="135"/>
      <c r="V48" s="132"/>
      <c r="W48" s="135"/>
      <c r="X48" s="135"/>
      <c r="Y48" s="135"/>
      <c r="Z48" s="132">
        <v>133.44999999999999</v>
      </c>
      <c r="AA48" s="132">
        <v>133.44999999999999</v>
      </c>
      <c r="AB48" s="132">
        <v>102</v>
      </c>
      <c r="AC48" s="132"/>
      <c r="AD48" s="132"/>
      <c r="AE48" s="132"/>
      <c r="AF48" s="132"/>
      <c r="AG48" s="132">
        <v>92</v>
      </c>
      <c r="AH48" s="132"/>
      <c r="AI48" s="132"/>
      <c r="AJ48" s="132">
        <v>107.3</v>
      </c>
      <c r="AK48" s="132"/>
      <c r="AL48" s="133"/>
    </row>
    <row r="49" spans="1:38" x14ac:dyDescent="0.35">
      <c r="A49" s="148">
        <v>33708</v>
      </c>
      <c r="B49" s="132">
        <v>457.5</v>
      </c>
      <c r="C49" s="132">
        <v>437.17</v>
      </c>
      <c r="D49" s="132">
        <v>209.12</v>
      </c>
      <c r="E49" s="132">
        <v>216.39999999999998</v>
      </c>
      <c r="F49" s="132">
        <v>268.53000000000003</v>
      </c>
      <c r="G49" s="126">
        <v>167.22000000000003</v>
      </c>
      <c r="H49" s="127">
        <v>160.69</v>
      </c>
      <c r="I49" s="132">
        <v>202.21</v>
      </c>
      <c r="J49" s="127">
        <v>224.71</v>
      </c>
      <c r="K49" s="127">
        <v>239.18</v>
      </c>
      <c r="L49" s="132">
        <v>219.29000000000002</v>
      </c>
      <c r="M49" s="127">
        <v>112.13000000000001</v>
      </c>
      <c r="N49" s="132"/>
      <c r="O49" s="126">
        <v>127.49000000000001</v>
      </c>
      <c r="P49" s="132"/>
      <c r="Q49" s="126">
        <v>140.63999999999999</v>
      </c>
      <c r="R49" s="170">
        <v>179.3</v>
      </c>
      <c r="S49" s="135"/>
      <c r="T49" s="132"/>
      <c r="U49" s="135"/>
      <c r="V49" s="132"/>
      <c r="W49" s="135"/>
      <c r="X49" s="135"/>
      <c r="Y49" s="135"/>
      <c r="Z49" s="132">
        <v>135.5</v>
      </c>
      <c r="AA49" s="132">
        <v>135.55000000000001</v>
      </c>
      <c r="AB49" s="132">
        <v>102.07</v>
      </c>
      <c r="AC49" s="132"/>
      <c r="AD49" s="132"/>
      <c r="AE49" s="132"/>
      <c r="AF49" s="132"/>
      <c r="AG49" s="132">
        <v>92.539999999999992</v>
      </c>
      <c r="AH49" s="132"/>
      <c r="AI49" s="132"/>
      <c r="AJ49" s="132">
        <v>108.28999999999999</v>
      </c>
      <c r="AK49" s="132"/>
      <c r="AL49" s="133"/>
    </row>
    <row r="50" spans="1:38" x14ac:dyDescent="0.35">
      <c r="A50" s="148">
        <v>33750</v>
      </c>
      <c r="B50" s="132">
        <v>457.75</v>
      </c>
      <c r="C50" s="132">
        <v>437.34</v>
      </c>
      <c r="D50" s="132">
        <v>209.38</v>
      </c>
      <c r="E50" s="132">
        <v>216.24</v>
      </c>
      <c r="F50" s="132">
        <v>270.86</v>
      </c>
      <c r="G50" s="126">
        <v>163.05000000000001</v>
      </c>
      <c r="H50" s="127">
        <v>160.02000000000001</v>
      </c>
      <c r="I50" s="132">
        <v>202.21</v>
      </c>
      <c r="J50" s="127">
        <v>224.21</v>
      </c>
      <c r="K50" s="127">
        <v>238.51</v>
      </c>
      <c r="L50" s="132">
        <v>213.13</v>
      </c>
      <c r="M50" s="127">
        <v>111.55000000000001</v>
      </c>
      <c r="N50" s="132"/>
      <c r="O50" s="126">
        <v>127.99000000000001</v>
      </c>
      <c r="P50" s="132"/>
      <c r="Q50" s="126">
        <v>144.06</v>
      </c>
      <c r="R50" s="170">
        <v>179.3</v>
      </c>
      <c r="S50" s="135"/>
      <c r="T50" s="132"/>
      <c r="U50" s="135"/>
      <c r="V50" s="132"/>
      <c r="W50" s="135"/>
      <c r="X50" s="135"/>
      <c r="Y50" s="135"/>
      <c r="Z50" s="132">
        <v>132.80000000000001</v>
      </c>
      <c r="AA50" s="132">
        <v>132.78</v>
      </c>
      <c r="AB50" s="132">
        <v>101.5</v>
      </c>
      <c r="AC50" s="132"/>
      <c r="AD50" s="132"/>
      <c r="AE50" s="132"/>
      <c r="AF50" s="132"/>
      <c r="AG50" s="132">
        <v>92</v>
      </c>
      <c r="AH50" s="132"/>
      <c r="AI50" s="132"/>
      <c r="AJ50" s="132">
        <v>107.3</v>
      </c>
      <c r="AK50" s="132"/>
      <c r="AL50" s="133"/>
    </row>
    <row r="51" spans="1:38" x14ac:dyDescent="0.35">
      <c r="A51" s="148">
        <v>33777</v>
      </c>
      <c r="B51" s="132">
        <v>458</v>
      </c>
      <c r="C51" s="132">
        <v>437.5</v>
      </c>
      <c r="D51" s="132">
        <v>209.44</v>
      </c>
      <c r="E51" s="132">
        <v>216.29</v>
      </c>
      <c r="F51" s="132">
        <v>269.65000000000003</v>
      </c>
      <c r="G51" s="126">
        <v>164.35000000000002</v>
      </c>
      <c r="H51" s="127">
        <v>160.02000000000001</v>
      </c>
      <c r="I51" s="132">
        <v>201.20000000000002</v>
      </c>
      <c r="J51" s="127">
        <v>223.71</v>
      </c>
      <c r="K51" s="127">
        <v>238.72</v>
      </c>
      <c r="L51" s="132">
        <v>212.23000000000002</v>
      </c>
      <c r="M51" s="127">
        <v>111.25000000000001</v>
      </c>
      <c r="N51" s="132"/>
      <c r="O51" s="126">
        <v>127.99000000000001</v>
      </c>
      <c r="P51" s="132"/>
      <c r="Q51" s="126">
        <v>143.33999999999997</v>
      </c>
      <c r="R51" s="170">
        <v>179.3</v>
      </c>
      <c r="S51" s="135"/>
      <c r="T51" s="132"/>
      <c r="U51" s="135"/>
      <c r="V51" s="132"/>
      <c r="W51" s="135"/>
      <c r="X51" s="135"/>
      <c r="Y51" s="135"/>
      <c r="Z51" s="132">
        <v>131.79</v>
      </c>
      <c r="AA51" s="132">
        <v>131.77000000000001</v>
      </c>
      <c r="AB51" s="132">
        <v>101.71000000000001</v>
      </c>
      <c r="AC51" s="132"/>
      <c r="AD51" s="132"/>
      <c r="AE51" s="132"/>
      <c r="AF51" s="132"/>
      <c r="AG51" s="132">
        <v>93.27000000000001</v>
      </c>
      <c r="AH51" s="132"/>
      <c r="AI51" s="132"/>
      <c r="AJ51" s="132">
        <v>111.09</v>
      </c>
      <c r="AK51" s="132"/>
      <c r="AL51" s="133"/>
    </row>
    <row r="52" spans="1:38" x14ac:dyDescent="0.35">
      <c r="A52" s="148">
        <v>33805</v>
      </c>
      <c r="B52" s="132">
        <v>457.8</v>
      </c>
      <c r="C52" s="132">
        <v>437.25</v>
      </c>
      <c r="D52" s="132">
        <v>209.04</v>
      </c>
      <c r="E52" s="132">
        <v>215.51</v>
      </c>
      <c r="F52" s="132">
        <v>268.41000000000003</v>
      </c>
      <c r="G52" s="126">
        <v>163.80000000000001</v>
      </c>
      <c r="H52" s="127">
        <v>159.22000000000003</v>
      </c>
      <c r="I52" s="132">
        <v>200.5</v>
      </c>
      <c r="J52" s="127">
        <v>223.29000000000002</v>
      </c>
      <c r="K52" s="127">
        <v>237.84</v>
      </c>
      <c r="L52" s="132">
        <v>211.56</v>
      </c>
      <c r="M52" s="127">
        <v>111.05000000000001</v>
      </c>
      <c r="N52" s="132"/>
      <c r="O52" s="126">
        <v>126.87</v>
      </c>
      <c r="P52" s="132"/>
      <c r="Q52" s="126">
        <v>142.82</v>
      </c>
      <c r="R52" s="170">
        <v>179.3</v>
      </c>
      <c r="S52" s="135"/>
      <c r="T52" s="132"/>
      <c r="U52" s="135"/>
      <c r="V52" s="132"/>
      <c r="W52" s="135"/>
      <c r="X52" s="135"/>
      <c r="Y52" s="135"/>
      <c r="Z52" s="132">
        <v>131.63999999999999</v>
      </c>
      <c r="AA52" s="132">
        <v>131.57</v>
      </c>
      <c r="AB52" s="132">
        <v>101.75</v>
      </c>
      <c r="AC52" s="132"/>
      <c r="AD52" s="132"/>
      <c r="AE52" s="132"/>
      <c r="AF52" s="132"/>
      <c r="AG52" s="132">
        <v>93.39</v>
      </c>
      <c r="AH52" s="132"/>
      <c r="AI52" s="132"/>
      <c r="AJ52" s="132">
        <v>111.45</v>
      </c>
      <c r="AK52" s="132"/>
      <c r="AL52" s="133"/>
    </row>
    <row r="53" spans="1:38" x14ac:dyDescent="0.35">
      <c r="A53" s="148">
        <v>33830</v>
      </c>
      <c r="B53" s="137"/>
      <c r="C53" s="137"/>
      <c r="D53" s="137"/>
      <c r="E53" s="132"/>
      <c r="F53" s="132"/>
      <c r="G53" s="126"/>
      <c r="H53" s="127"/>
      <c r="I53" s="132"/>
      <c r="J53" s="127"/>
      <c r="K53" s="127"/>
      <c r="L53" s="132"/>
      <c r="M53" s="127"/>
      <c r="N53" s="137"/>
      <c r="O53" s="126"/>
      <c r="P53" s="137"/>
      <c r="Q53" s="139"/>
      <c r="R53" s="145"/>
      <c r="S53" s="135"/>
      <c r="T53" s="137"/>
      <c r="U53" s="135"/>
      <c r="V53" s="137"/>
      <c r="W53" s="135"/>
      <c r="X53" s="145"/>
      <c r="Y53" s="135"/>
      <c r="Z53" s="132">
        <v>131.55000000000001</v>
      </c>
      <c r="AA53" s="132"/>
      <c r="AB53" s="132">
        <v>101.65</v>
      </c>
      <c r="AC53" s="132"/>
      <c r="AD53" s="132"/>
      <c r="AE53" s="132"/>
      <c r="AF53" s="132"/>
      <c r="AG53" s="132">
        <v>93.35</v>
      </c>
      <c r="AH53" s="132"/>
      <c r="AI53" s="132"/>
      <c r="AJ53" s="132">
        <v>111.35</v>
      </c>
      <c r="AK53" s="132"/>
      <c r="AL53" s="133"/>
    </row>
    <row r="54" spans="1:38" x14ac:dyDescent="0.35">
      <c r="A54" s="148">
        <v>33861</v>
      </c>
      <c r="B54" s="132">
        <v>457.7</v>
      </c>
      <c r="C54" s="132">
        <v>437.4</v>
      </c>
      <c r="D54" s="132">
        <v>208.29</v>
      </c>
      <c r="E54" s="132">
        <v>215.82</v>
      </c>
      <c r="F54" s="132">
        <v>268.06</v>
      </c>
      <c r="G54" s="126">
        <v>163.55000000000001</v>
      </c>
      <c r="H54" s="127">
        <v>159.02000000000001</v>
      </c>
      <c r="I54" s="132">
        <v>200.5</v>
      </c>
      <c r="J54" s="127">
        <v>222.71</v>
      </c>
      <c r="K54" s="127">
        <v>238.09</v>
      </c>
      <c r="L54" s="132">
        <v>211.46</v>
      </c>
      <c r="M54" s="127">
        <v>110.85000000000001</v>
      </c>
      <c r="N54" s="132"/>
      <c r="O54" s="126">
        <v>126.39000000000001</v>
      </c>
      <c r="P54" s="132"/>
      <c r="Q54" s="126">
        <v>142.44</v>
      </c>
      <c r="R54" s="170">
        <v>179.3</v>
      </c>
      <c r="S54" s="135"/>
      <c r="T54" s="132"/>
      <c r="U54" s="135"/>
      <c r="V54" s="132"/>
      <c r="W54" s="135"/>
      <c r="X54" s="135"/>
      <c r="Y54" s="135"/>
      <c r="Z54" s="132">
        <v>131.6</v>
      </c>
      <c r="AA54" s="132"/>
      <c r="AB54" s="132">
        <v>101.6</v>
      </c>
      <c r="AC54" s="132"/>
      <c r="AD54" s="132"/>
      <c r="AE54" s="132"/>
      <c r="AF54" s="132"/>
      <c r="AG54" s="132">
        <v>93.3</v>
      </c>
      <c r="AH54" s="132"/>
      <c r="AI54" s="132"/>
      <c r="AJ54" s="132">
        <v>111.3</v>
      </c>
      <c r="AK54" s="132"/>
      <c r="AL54" s="133"/>
    </row>
    <row r="55" spans="1:38" x14ac:dyDescent="0.35">
      <c r="A55" s="148">
        <v>33894</v>
      </c>
      <c r="B55" s="132">
        <v>458</v>
      </c>
      <c r="C55" s="132">
        <v>437.25</v>
      </c>
      <c r="D55" s="132">
        <v>208.04</v>
      </c>
      <c r="E55" s="132">
        <v>215.82</v>
      </c>
      <c r="F55" s="132">
        <v>268.11</v>
      </c>
      <c r="G55" s="126">
        <v>163.30000000000001</v>
      </c>
      <c r="H55" s="127">
        <v>159.02000000000001</v>
      </c>
      <c r="I55" s="132">
        <v>200.5</v>
      </c>
      <c r="J55" s="127">
        <v>222.46</v>
      </c>
      <c r="K55" s="127">
        <v>237.84</v>
      </c>
      <c r="L55" s="132">
        <v>212.37</v>
      </c>
      <c r="M55" s="127">
        <v>111.05000000000001</v>
      </c>
      <c r="N55" s="132"/>
      <c r="O55" s="126">
        <v>126.9</v>
      </c>
      <c r="P55" s="132"/>
      <c r="Q55" s="126">
        <v>142.63999999999999</v>
      </c>
      <c r="R55" s="170">
        <v>179.3</v>
      </c>
      <c r="S55" s="135"/>
      <c r="T55" s="132"/>
      <c r="U55" s="135"/>
      <c r="V55" s="132"/>
      <c r="W55" s="135"/>
      <c r="X55" s="135"/>
      <c r="Y55" s="135"/>
      <c r="Z55" s="132">
        <v>131.35</v>
      </c>
      <c r="AA55" s="132"/>
      <c r="AB55" s="132">
        <v>101.75999999999999</v>
      </c>
      <c r="AC55" s="132"/>
      <c r="AD55" s="132"/>
      <c r="AE55" s="132"/>
      <c r="AF55" s="132"/>
      <c r="AG55" s="132">
        <v>93.22</v>
      </c>
      <c r="AH55" s="132"/>
      <c r="AI55" s="132"/>
      <c r="AJ55" s="132">
        <v>111.05</v>
      </c>
      <c r="AK55" s="132"/>
      <c r="AL55" s="133"/>
    </row>
    <row r="56" spans="1:38" x14ac:dyDescent="0.35">
      <c r="A56" s="148">
        <v>33922</v>
      </c>
      <c r="B56" s="132">
        <v>457.58</v>
      </c>
      <c r="C56" s="132">
        <v>437.5</v>
      </c>
      <c r="D56" s="132">
        <v>208.04</v>
      </c>
      <c r="E56" s="132">
        <v>215.73</v>
      </c>
      <c r="F56" s="132">
        <v>268.11</v>
      </c>
      <c r="G56" s="126">
        <v>163.80000000000001</v>
      </c>
      <c r="H56" s="127">
        <v>158.85000000000002</v>
      </c>
      <c r="I56" s="132">
        <v>200.5</v>
      </c>
      <c r="J56" s="127">
        <v>222.21</v>
      </c>
      <c r="K56" s="127">
        <v>237.59</v>
      </c>
      <c r="L56" s="132">
        <v>212.46</v>
      </c>
      <c r="M56" s="127">
        <v>110.96000000000001</v>
      </c>
      <c r="N56" s="132"/>
      <c r="O56" s="126">
        <v>126.74000000000001</v>
      </c>
      <c r="P56" s="132"/>
      <c r="Q56" s="126">
        <v>142.54999999999998</v>
      </c>
      <c r="R56" s="170">
        <v>179.3</v>
      </c>
      <c r="S56" s="135"/>
      <c r="T56" s="132"/>
      <c r="U56" s="135"/>
      <c r="V56" s="132"/>
      <c r="W56" s="135"/>
      <c r="X56" s="135"/>
      <c r="Y56" s="135"/>
      <c r="Z56" s="132">
        <v>131.30000000000001</v>
      </c>
      <c r="AA56" s="132"/>
      <c r="AB56" s="132">
        <v>101.8</v>
      </c>
      <c r="AC56" s="132"/>
      <c r="AD56" s="132"/>
      <c r="AE56" s="132"/>
      <c r="AF56" s="132"/>
      <c r="AG56" s="132">
        <v>93.2</v>
      </c>
      <c r="AH56" s="132"/>
      <c r="AI56" s="132"/>
      <c r="AJ56" s="132">
        <v>111</v>
      </c>
      <c r="AK56" s="132"/>
      <c r="AL56" s="133"/>
    </row>
    <row r="57" spans="1:38" x14ac:dyDescent="0.35">
      <c r="A57" s="148">
        <v>33950</v>
      </c>
      <c r="B57" s="132">
        <v>457</v>
      </c>
      <c r="C57" s="132">
        <v>437.5</v>
      </c>
      <c r="D57" s="132">
        <v>208.04</v>
      </c>
      <c r="E57" s="132">
        <v>214.89999999999998</v>
      </c>
      <c r="F57" s="132">
        <v>273.69</v>
      </c>
      <c r="G57" s="126">
        <v>167.22000000000003</v>
      </c>
      <c r="H57" s="127">
        <v>155.36000000000001</v>
      </c>
      <c r="I57" s="132">
        <v>213.3</v>
      </c>
      <c r="J57" s="127">
        <v>222.62</v>
      </c>
      <c r="K57" s="127">
        <v>239.55</v>
      </c>
      <c r="L57" s="132">
        <v>214.8</v>
      </c>
      <c r="M57" s="127">
        <v>117.05000000000001</v>
      </c>
      <c r="N57" s="132">
        <v>142.51000000000002</v>
      </c>
      <c r="O57" s="126">
        <v>132.41000000000003</v>
      </c>
      <c r="P57" s="132"/>
      <c r="Q57" s="126">
        <v>153.88999999999999</v>
      </c>
      <c r="R57" s="170">
        <v>179.3</v>
      </c>
      <c r="S57" s="135"/>
      <c r="T57" s="132"/>
      <c r="U57" s="135"/>
      <c r="V57" s="132"/>
      <c r="W57" s="135"/>
      <c r="X57" s="135"/>
      <c r="Y57" s="135"/>
      <c r="Z57" s="132">
        <v>131.5</v>
      </c>
      <c r="AA57" s="132"/>
      <c r="AB57" s="132">
        <v>102.17</v>
      </c>
      <c r="AC57" s="132"/>
      <c r="AD57" s="132"/>
      <c r="AE57" s="132"/>
      <c r="AF57" s="132"/>
      <c r="AG57" s="132">
        <v>93.68</v>
      </c>
      <c r="AH57" s="132"/>
      <c r="AI57" s="132"/>
      <c r="AJ57" s="132">
        <v>111.25</v>
      </c>
      <c r="AK57" s="132"/>
      <c r="AL57" s="133"/>
    </row>
    <row r="58" spans="1:38" x14ac:dyDescent="0.35">
      <c r="A58" s="148">
        <v>33984</v>
      </c>
      <c r="B58" s="132">
        <v>457</v>
      </c>
      <c r="C58" s="132">
        <v>438.5</v>
      </c>
      <c r="D58" s="132">
        <v>209.20999999999998</v>
      </c>
      <c r="E58" s="132">
        <v>217.2</v>
      </c>
      <c r="F58" s="132">
        <v>274.36</v>
      </c>
      <c r="G58" s="126">
        <v>169.47000000000003</v>
      </c>
      <c r="H58" s="127">
        <v>162.19</v>
      </c>
      <c r="I58" s="132">
        <v>213.3</v>
      </c>
      <c r="J58" s="127">
        <v>227.71</v>
      </c>
      <c r="K58" s="127">
        <v>242.18</v>
      </c>
      <c r="L58" s="132">
        <v>214.92000000000002</v>
      </c>
      <c r="M58" s="127">
        <v>117.39000000000001</v>
      </c>
      <c r="N58" s="132">
        <v>142.49</v>
      </c>
      <c r="O58" s="126">
        <v>132.33000000000001</v>
      </c>
      <c r="P58" s="132"/>
      <c r="Q58" s="126">
        <v>153.85</v>
      </c>
      <c r="R58" s="170">
        <v>179.3</v>
      </c>
      <c r="S58" s="135"/>
      <c r="T58" s="132"/>
      <c r="U58" s="135"/>
      <c r="V58" s="132"/>
      <c r="W58" s="135"/>
      <c r="X58" s="135"/>
      <c r="Y58" s="135"/>
      <c r="Z58" s="132">
        <v>137.6</v>
      </c>
      <c r="AA58" s="132">
        <v>137.59</v>
      </c>
      <c r="AB58" s="132">
        <v>101.95</v>
      </c>
      <c r="AC58" s="132"/>
      <c r="AD58" s="132"/>
      <c r="AE58" s="132"/>
      <c r="AF58" s="132"/>
      <c r="AG58" s="132">
        <v>94</v>
      </c>
      <c r="AH58" s="132"/>
      <c r="AI58" s="132"/>
      <c r="AJ58" s="132">
        <v>112.25</v>
      </c>
      <c r="AK58" s="132"/>
      <c r="AL58" s="133"/>
    </row>
    <row r="59" spans="1:38" x14ac:dyDescent="0.35">
      <c r="A59" s="148">
        <v>34012</v>
      </c>
      <c r="B59" s="132">
        <v>457</v>
      </c>
      <c r="C59" s="132">
        <v>438.5</v>
      </c>
      <c r="D59" s="132">
        <v>209.29</v>
      </c>
      <c r="E59" s="132">
        <v>217.57</v>
      </c>
      <c r="F59" s="132">
        <v>274.36</v>
      </c>
      <c r="G59" s="126">
        <v>169.3</v>
      </c>
      <c r="H59" s="127">
        <v>162.09</v>
      </c>
      <c r="I59" s="132">
        <v>213.3</v>
      </c>
      <c r="J59" s="127">
        <v>227.71</v>
      </c>
      <c r="K59" s="127">
        <v>242.18</v>
      </c>
      <c r="L59" s="132">
        <v>214.96</v>
      </c>
      <c r="M59" s="127">
        <v>117.30000000000001</v>
      </c>
      <c r="N59" s="132">
        <v>142.99</v>
      </c>
      <c r="O59" s="126">
        <v>132.24</v>
      </c>
      <c r="P59" s="132"/>
      <c r="Q59" s="126">
        <v>154.13999999999999</v>
      </c>
      <c r="R59" s="170">
        <v>179.3</v>
      </c>
      <c r="S59" s="135"/>
      <c r="T59" s="132"/>
      <c r="U59" s="135"/>
      <c r="V59" s="132"/>
      <c r="W59" s="135"/>
      <c r="X59" s="135"/>
      <c r="Y59" s="135"/>
      <c r="Z59" s="132">
        <v>137.4</v>
      </c>
      <c r="AA59" s="132">
        <v>137.4</v>
      </c>
      <c r="AB59" s="132">
        <v>101</v>
      </c>
      <c r="AC59" s="132"/>
      <c r="AD59" s="132"/>
      <c r="AE59" s="132"/>
      <c r="AF59" s="132"/>
      <c r="AG59" s="132">
        <v>94.4</v>
      </c>
      <c r="AH59" s="132"/>
      <c r="AI59" s="132"/>
      <c r="AJ59" s="132">
        <v>115.1</v>
      </c>
      <c r="AK59" s="132"/>
      <c r="AL59" s="133"/>
    </row>
    <row r="60" spans="1:38" x14ac:dyDescent="0.35">
      <c r="A60" s="148">
        <v>34052</v>
      </c>
      <c r="B60" s="132">
        <v>457.90999999999997</v>
      </c>
      <c r="C60" s="132">
        <v>438.75</v>
      </c>
      <c r="D60" s="132">
        <v>208.95</v>
      </c>
      <c r="E60" s="132">
        <v>218.73</v>
      </c>
      <c r="F60" s="132">
        <v>274.69</v>
      </c>
      <c r="G60" s="126">
        <v>166.55</v>
      </c>
      <c r="H60" s="127">
        <v>161.77000000000001</v>
      </c>
      <c r="I60" s="132">
        <v>212.47</v>
      </c>
      <c r="J60" s="127">
        <v>226.46</v>
      </c>
      <c r="K60" s="127">
        <v>241.84</v>
      </c>
      <c r="L60" s="132">
        <v>215.04000000000002</v>
      </c>
      <c r="M60" s="127">
        <v>120.13000000000001</v>
      </c>
      <c r="N60" s="132">
        <v>143.9</v>
      </c>
      <c r="O60" s="126">
        <v>137.19</v>
      </c>
      <c r="P60" s="132"/>
      <c r="Q60" s="126">
        <v>161.13999999999999</v>
      </c>
      <c r="R60" s="170">
        <v>179.3</v>
      </c>
      <c r="S60" s="135"/>
      <c r="T60" s="132"/>
      <c r="U60" s="135"/>
      <c r="V60" s="132"/>
      <c r="W60" s="135"/>
      <c r="X60" s="135"/>
      <c r="Y60" s="135"/>
      <c r="Z60" s="132">
        <v>138.31</v>
      </c>
      <c r="AA60" s="132">
        <v>138.22</v>
      </c>
      <c r="AB60" s="132">
        <v>102.03999999999999</v>
      </c>
      <c r="AC60" s="132"/>
      <c r="AD60" s="132"/>
      <c r="AE60" s="132"/>
      <c r="AF60" s="132"/>
      <c r="AG60" s="132">
        <v>96.14</v>
      </c>
      <c r="AH60" s="132"/>
      <c r="AI60" s="132"/>
      <c r="AJ60" s="132">
        <v>117.27000000000001</v>
      </c>
      <c r="AK60" s="132"/>
      <c r="AL60" s="133"/>
    </row>
    <row r="61" spans="1:38" x14ac:dyDescent="0.35">
      <c r="A61" s="148">
        <v>34075</v>
      </c>
      <c r="B61" s="132">
        <v>457.67</v>
      </c>
      <c r="C61" s="132">
        <v>438.67</v>
      </c>
      <c r="D61" s="132">
        <v>210.04</v>
      </c>
      <c r="E61" s="132">
        <v>211.82</v>
      </c>
      <c r="F61" s="132">
        <v>273.86</v>
      </c>
      <c r="G61" s="126">
        <v>166.72000000000003</v>
      </c>
      <c r="H61" s="127">
        <v>160.44</v>
      </c>
      <c r="I61" s="132">
        <v>201.63000000000002</v>
      </c>
      <c r="J61" s="127">
        <v>222.38</v>
      </c>
      <c r="K61" s="127">
        <v>238.84</v>
      </c>
      <c r="L61" s="132">
        <v>213.96</v>
      </c>
      <c r="M61" s="127">
        <v>111.55000000000001</v>
      </c>
      <c r="N61" s="132">
        <v>142.24</v>
      </c>
      <c r="O61" s="126">
        <v>125.66000000000001</v>
      </c>
      <c r="P61" s="132"/>
      <c r="Q61" s="126">
        <v>159.63999999999999</v>
      </c>
      <c r="R61" s="170">
        <v>179.3</v>
      </c>
      <c r="S61" s="135"/>
      <c r="T61" s="132"/>
      <c r="U61" s="135"/>
      <c r="V61" s="132"/>
      <c r="W61" s="135"/>
      <c r="X61" s="135"/>
      <c r="Y61" s="135"/>
      <c r="Z61" s="132">
        <v>135.19</v>
      </c>
      <c r="AA61" s="132">
        <v>135.15</v>
      </c>
      <c r="AB61" s="132">
        <v>102.78999999999999</v>
      </c>
      <c r="AC61" s="132"/>
      <c r="AD61" s="132"/>
      <c r="AE61" s="132"/>
      <c r="AF61" s="132"/>
      <c r="AG61" s="132">
        <v>96.28</v>
      </c>
      <c r="AH61" s="132"/>
      <c r="AI61" s="132"/>
      <c r="AJ61" s="132">
        <v>123.28999999999999</v>
      </c>
      <c r="AK61" s="132"/>
      <c r="AL61" s="133"/>
    </row>
    <row r="62" spans="1:38" x14ac:dyDescent="0.35">
      <c r="A62" s="148">
        <v>34103</v>
      </c>
      <c r="B62" s="132">
        <v>457.67</v>
      </c>
      <c r="C62" s="132">
        <v>438</v>
      </c>
      <c r="D62" s="132">
        <v>207.37</v>
      </c>
      <c r="E62" s="132">
        <v>211.14999999999998</v>
      </c>
      <c r="F62" s="132">
        <v>268.11</v>
      </c>
      <c r="G62" s="126">
        <v>165.47000000000003</v>
      </c>
      <c r="H62" s="127">
        <v>160.10000000000002</v>
      </c>
      <c r="I62" s="132">
        <v>201.55</v>
      </c>
      <c r="J62" s="127">
        <v>222.21</v>
      </c>
      <c r="K62" s="127">
        <v>239.51</v>
      </c>
      <c r="L62" s="132">
        <v>213.79000000000002</v>
      </c>
      <c r="M62" s="127">
        <v>110.97000000000001</v>
      </c>
      <c r="N62" s="132">
        <v>141.82</v>
      </c>
      <c r="O62" s="126">
        <v>127.66000000000001</v>
      </c>
      <c r="P62" s="132"/>
      <c r="Q62" s="126">
        <v>147.63999999999999</v>
      </c>
      <c r="R62" s="170">
        <v>179.3</v>
      </c>
      <c r="S62" s="135"/>
      <c r="T62" s="132"/>
      <c r="U62" s="135"/>
      <c r="V62" s="132"/>
      <c r="W62" s="135"/>
      <c r="X62" s="135"/>
      <c r="Y62" s="135"/>
      <c r="Z62" s="132">
        <v>134.54</v>
      </c>
      <c r="AA62" s="132">
        <v>134.57</v>
      </c>
      <c r="AB62" s="132">
        <v>103</v>
      </c>
      <c r="AC62" s="132"/>
      <c r="AD62" s="132"/>
      <c r="AE62" s="132"/>
      <c r="AF62" s="132"/>
      <c r="AG62" s="132">
        <v>96</v>
      </c>
      <c r="AH62" s="132"/>
      <c r="AI62" s="132"/>
      <c r="AJ62" s="132">
        <v>124.19</v>
      </c>
      <c r="AK62" s="132"/>
      <c r="AL62" s="133"/>
    </row>
    <row r="63" spans="1:38" x14ac:dyDescent="0.35">
      <c r="A63" s="148">
        <v>34137</v>
      </c>
      <c r="B63" s="132">
        <v>457.75</v>
      </c>
      <c r="C63" s="132">
        <v>438</v>
      </c>
      <c r="D63" s="132">
        <v>207.20999999999998</v>
      </c>
      <c r="E63" s="132">
        <v>210.82</v>
      </c>
      <c r="F63" s="132">
        <v>268.03000000000003</v>
      </c>
      <c r="G63" s="126">
        <v>164.8</v>
      </c>
      <c r="H63" s="127">
        <v>160.02000000000001</v>
      </c>
      <c r="I63" s="132">
        <v>201.47</v>
      </c>
      <c r="J63" s="127">
        <v>222.21</v>
      </c>
      <c r="K63" s="127">
        <v>239.34</v>
      </c>
      <c r="L63" s="132">
        <v>213.46</v>
      </c>
      <c r="M63" s="127">
        <v>110.72000000000001</v>
      </c>
      <c r="N63" s="132">
        <v>141.32</v>
      </c>
      <c r="O63" s="126">
        <v>126.32000000000001</v>
      </c>
      <c r="P63" s="132"/>
      <c r="Q63" s="126">
        <v>145.56</v>
      </c>
      <c r="R63" s="170">
        <v>179.3</v>
      </c>
      <c r="S63" s="135"/>
      <c r="T63" s="132"/>
      <c r="U63" s="135"/>
      <c r="V63" s="132"/>
      <c r="W63" s="135"/>
      <c r="X63" s="135"/>
      <c r="Y63" s="135"/>
      <c r="Z63" s="132">
        <v>134.26</v>
      </c>
      <c r="AA63" s="132">
        <v>134.22</v>
      </c>
      <c r="AB63" s="132">
        <v>103.5</v>
      </c>
      <c r="AC63" s="132"/>
      <c r="AD63" s="132"/>
      <c r="AE63" s="132"/>
      <c r="AF63" s="132"/>
      <c r="AG63" s="132">
        <v>95.88</v>
      </c>
      <c r="AH63" s="132"/>
      <c r="AI63" s="132"/>
      <c r="AJ63" s="132">
        <v>125.1</v>
      </c>
      <c r="AK63" s="132"/>
      <c r="AL63" s="133"/>
    </row>
    <row r="64" spans="1:38" x14ac:dyDescent="0.35">
      <c r="A64" s="148">
        <v>34168</v>
      </c>
      <c r="B64" s="132">
        <v>459</v>
      </c>
      <c r="C64" s="132">
        <v>437.67</v>
      </c>
      <c r="D64" s="132">
        <v>207.29</v>
      </c>
      <c r="E64" s="132">
        <v>216.49</v>
      </c>
      <c r="F64" s="132">
        <v>268.36</v>
      </c>
      <c r="G64" s="126">
        <v>156.97000000000003</v>
      </c>
      <c r="H64" s="127">
        <v>157.02000000000001</v>
      </c>
      <c r="I64" s="132">
        <v>200.5</v>
      </c>
      <c r="J64" s="127">
        <v>223.38</v>
      </c>
      <c r="K64" s="127">
        <v>236.76</v>
      </c>
      <c r="L64" s="132">
        <v>212.96</v>
      </c>
      <c r="M64" s="127">
        <v>116.80000000000001</v>
      </c>
      <c r="N64" s="132">
        <v>138.66000000000003</v>
      </c>
      <c r="O64" s="126">
        <v>134.82</v>
      </c>
      <c r="P64" s="132"/>
      <c r="Q64" s="126">
        <v>151.81</v>
      </c>
      <c r="R64" s="170">
        <v>179.3</v>
      </c>
      <c r="S64" s="135"/>
      <c r="T64" s="132"/>
      <c r="U64" s="135"/>
      <c r="V64" s="132"/>
      <c r="W64" s="135"/>
      <c r="X64" s="135"/>
      <c r="Y64" s="135"/>
      <c r="Z64" s="132">
        <v>133.12</v>
      </c>
      <c r="AA64" s="132">
        <v>133.11000000000001</v>
      </c>
      <c r="AB64" s="132">
        <v>104</v>
      </c>
      <c r="AC64" s="132"/>
      <c r="AD64" s="132"/>
      <c r="AE64" s="132"/>
      <c r="AF64" s="132"/>
      <c r="AG64" s="132">
        <v>95.65</v>
      </c>
      <c r="AH64" s="132"/>
      <c r="AI64" s="132"/>
      <c r="AJ64" s="132">
        <v>124.05</v>
      </c>
      <c r="AK64" s="132"/>
      <c r="AL64" s="133"/>
    </row>
    <row r="65" spans="1:38" x14ac:dyDescent="0.35">
      <c r="A65" s="148">
        <v>34196</v>
      </c>
      <c r="B65" s="132">
        <v>455.83</v>
      </c>
      <c r="C65" s="132">
        <v>437.67</v>
      </c>
      <c r="D65" s="132">
        <v>206.95999999999998</v>
      </c>
      <c r="E65" s="132">
        <v>215.82</v>
      </c>
      <c r="F65" s="132">
        <v>267.36</v>
      </c>
      <c r="G65" s="126">
        <v>156.97000000000003</v>
      </c>
      <c r="H65" s="127">
        <v>157.69</v>
      </c>
      <c r="I65" s="132">
        <v>200.5</v>
      </c>
      <c r="J65" s="127">
        <v>222.71</v>
      </c>
      <c r="K65" s="127">
        <v>236.09</v>
      </c>
      <c r="L65" s="132">
        <v>212.13</v>
      </c>
      <c r="M65" s="127">
        <v>111.05000000000001</v>
      </c>
      <c r="N65" s="132">
        <v>138.82</v>
      </c>
      <c r="O65" s="126">
        <v>134.82</v>
      </c>
      <c r="P65" s="132"/>
      <c r="Q65" s="126">
        <v>151.96999999999997</v>
      </c>
      <c r="R65" s="170">
        <v>179.3</v>
      </c>
      <c r="S65" s="135"/>
      <c r="T65" s="132"/>
      <c r="U65" s="135"/>
      <c r="V65" s="132"/>
      <c r="W65" s="135"/>
      <c r="X65" s="135"/>
      <c r="Y65" s="135"/>
      <c r="Z65" s="132">
        <v>133.06</v>
      </c>
      <c r="AA65" s="132">
        <v>133.02000000000001</v>
      </c>
      <c r="AB65" s="132">
        <v>104.06</v>
      </c>
      <c r="AC65" s="132"/>
      <c r="AD65" s="132"/>
      <c r="AE65" s="132"/>
      <c r="AF65" s="132"/>
      <c r="AG65" s="132">
        <v>95.53</v>
      </c>
      <c r="AH65" s="132"/>
      <c r="AI65" s="132"/>
      <c r="AJ65" s="132">
        <v>123.08</v>
      </c>
      <c r="AK65" s="132"/>
      <c r="AL65" s="133"/>
    </row>
    <row r="66" spans="1:38" x14ac:dyDescent="0.35">
      <c r="A66" s="148">
        <v>34229</v>
      </c>
      <c r="B66" s="132">
        <v>456</v>
      </c>
      <c r="C66" s="132">
        <v>438</v>
      </c>
      <c r="D66" s="132">
        <v>207.12</v>
      </c>
      <c r="E66" s="132">
        <v>216.82</v>
      </c>
      <c r="F66" s="132">
        <v>267.19</v>
      </c>
      <c r="G66" s="126">
        <v>155.47000000000003</v>
      </c>
      <c r="H66" s="127">
        <v>156.02000000000001</v>
      </c>
      <c r="I66" s="132">
        <v>204.97</v>
      </c>
      <c r="J66" s="127">
        <v>223.38</v>
      </c>
      <c r="K66" s="127">
        <v>236.84</v>
      </c>
      <c r="L66" s="132">
        <v>213.46</v>
      </c>
      <c r="M66" s="127">
        <v>114.88000000000001</v>
      </c>
      <c r="N66" s="132">
        <v>136.32</v>
      </c>
      <c r="O66" s="126">
        <v>132.99</v>
      </c>
      <c r="P66" s="132"/>
      <c r="Q66" s="126">
        <v>147.21999999999997</v>
      </c>
      <c r="R66" s="170">
        <v>179.3</v>
      </c>
      <c r="S66" s="135"/>
      <c r="T66" s="132"/>
      <c r="U66" s="135"/>
      <c r="V66" s="132"/>
      <c r="W66" s="135"/>
      <c r="X66" s="135"/>
      <c r="Y66" s="135"/>
      <c r="Z66" s="132">
        <v>133</v>
      </c>
      <c r="AA66" s="132">
        <v>132.94</v>
      </c>
      <c r="AB66" s="132">
        <v>104.72</v>
      </c>
      <c r="AC66" s="132"/>
      <c r="AD66" s="132"/>
      <c r="AE66" s="132"/>
      <c r="AF66" s="132"/>
      <c r="AG66" s="132">
        <v>95.43</v>
      </c>
      <c r="AH66" s="132"/>
      <c r="AI66" s="132"/>
      <c r="AJ66" s="132">
        <v>121.8</v>
      </c>
      <c r="AK66" s="132"/>
      <c r="AL66" s="133"/>
    </row>
    <row r="67" spans="1:38" x14ac:dyDescent="0.35">
      <c r="A67" s="148">
        <v>34257</v>
      </c>
      <c r="B67" s="132">
        <v>457.42</v>
      </c>
      <c r="C67" s="132">
        <v>437.33</v>
      </c>
      <c r="D67" s="132">
        <v>207.54</v>
      </c>
      <c r="E67" s="132">
        <v>216.49</v>
      </c>
      <c r="F67" s="132">
        <v>267.44</v>
      </c>
      <c r="G67" s="126">
        <v>155.55000000000001</v>
      </c>
      <c r="H67" s="127">
        <v>155.94</v>
      </c>
      <c r="I67" s="132">
        <v>204.3</v>
      </c>
      <c r="J67" s="127">
        <v>222.79000000000002</v>
      </c>
      <c r="K67" s="127">
        <v>236.09</v>
      </c>
      <c r="L67" s="132">
        <v>212.88</v>
      </c>
      <c r="M67" s="127">
        <v>114.30000000000001</v>
      </c>
      <c r="N67" s="132"/>
      <c r="O67" s="126">
        <v>132.49</v>
      </c>
      <c r="P67" s="132"/>
      <c r="Q67" s="126">
        <v>146.46999999999997</v>
      </c>
      <c r="R67" s="170">
        <v>179.3</v>
      </c>
      <c r="S67" s="135"/>
      <c r="T67" s="132"/>
      <c r="U67" s="135"/>
      <c r="V67" s="132"/>
      <c r="W67" s="135"/>
      <c r="X67" s="135"/>
      <c r="Y67" s="135"/>
      <c r="Z67" s="132">
        <v>132.9</v>
      </c>
      <c r="AA67" s="132">
        <v>132.85</v>
      </c>
      <c r="AB67" s="132">
        <v>105.17</v>
      </c>
      <c r="AC67" s="132"/>
      <c r="AD67" s="132"/>
      <c r="AE67" s="132"/>
      <c r="AF67" s="132"/>
      <c r="AG67" s="132">
        <v>95.38</v>
      </c>
      <c r="AH67" s="132"/>
      <c r="AI67" s="132"/>
      <c r="AJ67" s="132">
        <v>120.32</v>
      </c>
      <c r="AK67" s="132"/>
      <c r="AL67" s="133"/>
    </row>
    <row r="68" spans="1:38" x14ac:dyDescent="0.35">
      <c r="A68" s="148">
        <v>34288</v>
      </c>
      <c r="B68" s="132">
        <v>458.92</v>
      </c>
      <c r="C68" s="132">
        <v>436.95</v>
      </c>
      <c r="D68" s="132">
        <v>208.45999999999998</v>
      </c>
      <c r="E68" s="132">
        <v>216.07</v>
      </c>
      <c r="F68" s="132">
        <v>269.32</v>
      </c>
      <c r="G68" s="126">
        <v>155.30000000000001</v>
      </c>
      <c r="H68" s="127">
        <v>155.10000000000002</v>
      </c>
      <c r="I68" s="132">
        <v>201.3</v>
      </c>
      <c r="J68" s="127">
        <v>222.46</v>
      </c>
      <c r="K68" s="127">
        <v>235.42000000000002</v>
      </c>
      <c r="L68" s="132">
        <v>212.21</v>
      </c>
      <c r="M68" s="127">
        <v>113.13000000000001</v>
      </c>
      <c r="N68" s="132"/>
      <c r="O68" s="126">
        <v>131.74</v>
      </c>
      <c r="P68" s="132"/>
      <c r="Q68" s="126">
        <v>144.46999999999997</v>
      </c>
      <c r="R68" s="170">
        <v>179.3</v>
      </c>
      <c r="S68" s="135"/>
      <c r="T68" s="132"/>
      <c r="U68" s="135"/>
      <c r="V68" s="132"/>
      <c r="W68" s="135"/>
      <c r="X68" s="135"/>
      <c r="Y68" s="135"/>
      <c r="Z68" s="132">
        <v>132.82</v>
      </c>
      <c r="AA68" s="132">
        <v>132.76</v>
      </c>
      <c r="AB68" s="132">
        <v>105.35</v>
      </c>
      <c r="AC68" s="132"/>
      <c r="AD68" s="132"/>
      <c r="AE68" s="132"/>
      <c r="AF68" s="132"/>
      <c r="AG68" s="132">
        <v>95.27000000000001</v>
      </c>
      <c r="AH68" s="132"/>
      <c r="AI68" s="132"/>
      <c r="AJ68" s="132">
        <v>119.3</v>
      </c>
      <c r="AK68" s="132"/>
      <c r="AL68" s="133"/>
    </row>
    <row r="69" spans="1:38" x14ac:dyDescent="0.35">
      <c r="A69" s="148">
        <v>34318</v>
      </c>
      <c r="B69" s="132">
        <v>458.48</v>
      </c>
      <c r="C69" s="132">
        <v>436.68</v>
      </c>
      <c r="D69" s="132">
        <v>208.72</v>
      </c>
      <c r="E69" s="132">
        <v>216.32</v>
      </c>
      <c r="F69" s="132">
        <v>267.67</v>
      </c>
      <c r="G69" s="126">
        <v>154.95000000000002</v>
      </c>
      <c r="H69" s="127">
        <v>155.46</v>
      </c>
      <c r="I69" s="132">
        <v>200.5</v>
      </c>
      <c r="J69" s="127">
        <v>222.79000000000002</v>
      </c>
      <c r="K69" s="127">
        <v>235.78</v>
      </c>
      <c r="L69" s="132">
        <v>211.86</v>
      </c>
      <c r="M69" s="127">
        <v>111.42000000000002</v>
      </c>
      <c r="N69" s="132"/>
      <c r="O69" s="126">
        <v>131.20000000000002</v>
      </c>
      <c r="P69" s="132"/>
      <c r="Q69" s="126">
        <v>140.88</v>
      </c>
      <c r="R69" s="170">
        <v>179.3</v>
      </c>
      <c r="S69" s="135"/>
      <c r="T69" s="132"/>
      <c r="U69" s="135"/>
      <c r="V69" s="132"/>
      <c r="W69" s="135"/>
      <c r="X69" s="135"/>
      <c r="Y69" s="135"/>
      <c r="Z69" s="132">
        <v>132.72</v>
      </c>
      <c r="AA69" s="132">
        <v>132.67000000000002</v>
      </c>
      <c r="AB69" s="132">
        <v>105.66</v>
      </c>
      <c r="AC69" s="132"/>
      <c r="AD69" s="132"/>
      <c r="AE69" s="132"/>
      <c r="AF69" s="132"/>
      <c r="AG69" s="132">
        <v>95.28</v>
      </c>
      <c r="AH69" s="132"/>
      <c r="AI69" s="132"/>
      <c r="AJ69" s="132">
        <v>118.11</v>
      </c>
      <c r="AK69" s="132"/>
      <c r="AL69" s="133"/>
    </row>
    <row r="70" spans="1:38" x14ac:dyDescent="0.35">
      <c r="A70" s="148">
        <v>34349</v>
      </c>
      <c r="B70" s="132">
        <v>458.35</v>
      </c>
      <c r="C70" s="132">
        <v>436.63</v>
      </c>
      <c r="D70" s="132">
        <v>208.42</v>
      </c>
      <c r="E70" s="132">
        <v>216.85</v>
      </c>
      <c r="F70" s="132">
        <v>263.78000000000003</v>
      </c>
      <c r="G70" s="126">
        <v>155.38</v>
      </c>
      <c r="H70" s="127">
        <v>154.54000000000002</v>
      </c>
      <c r="I70" s="132">
        <v>208.72</v>
      </c>
      <c r="J70" s="127">
        <v>222.69</v>
      </c>
      <c r="K70" s="127">
        <v>235.15</v>
      </c>
      <c r="L70" s="132">
        <v>211.81</v>
      </c>
      <c r="M70" s="127">
        <v>111.13000000000001</v>
      </c>
      <c r="N70" s="132"/>
      <c r="O70" s="126">
        <v>128.62</v>
      </c>
      <c r="P70" s="132"/>
      <c r="Q70" s="126">
        <v>140.87</v>
      </c>
      <c r="R70" s="170">
        <v>179.3</v>
      </c>
      <c r="S70" s="135"/>
      <c r="T70" s="132"/>
      <c r="U70" s="135"/>
      <c r="V70" s="132"/>
      <c r="W70" s="135"/>
      <c r="X70" s="135"/>
      <c r="Y70" s="135"/>
      <c r="Z70" s="132">
        <v>132.68</v>
      </c>
      <c r="AA70" s="132">
        <v>132.62</v>
      </c>
      <c r="AB70" s="132">
        <v>105.77</v>
      </c>
      <c r="AC70" s="132"/>
      <c r="AD70" s="132"/>
      <c r="AE70" s="132"/>
      <c r="AF70" s="132"/>
      <c r="AG70" s="132">
        <v>95.259999999999991</v>
      </c>
      <c r="AH70" s="132"/>
      <c r="AI70" s="132"/>
      <c r="AJ70" s="132">
        <v>116.95</v>
      </c>
      <c r="AK70" s="132"/>
      <c r="AL70" s="133"/>
    </row>
    <row r="71" spans="1:38" x14ac:dyDescent="0.35">
      <c r="A71" s="148">
        <v>34380</v>
      </c>
      <c r="B71" s="132">
        <v>458.32</v>
      </c>
      <c r="C71" s="132">
        <v>436.68</v>
      </c>
      <c r="D71" s="132">
        <v>208.12</v>
      </c>
      <c r="E71" s="132">
        <v>216.88</v>
      </c>
      <c r="F71" s="132">
        <v>269.21000000000004</v>
      </c>
      <c r="G71" s="126">
        <v>154.14000000000001</v>
      </c>
      <c r="H71" s="127">
        <v>154.19</v>
      </c>
      <c r="I71" s="132">
        <v>211.22</v>
      </c>
      <c r="J71" s="127">
        <v>222.39000000000001</v>
      </c>
      <c r="K71" s="127">
        <v>235.1</v>
      </c>
      <c r="L71" s="132">
        <v>211.8</v>
      </c>
      <c r="M71" s="127">
        <v>110.95000000000002</v>
      </c>
      <c r="N71" s="132"/>
      <c r="O71" s="126">
        <v>128.57</v>
      </c>
      <c r="P71" s="132"/>
      <c r="Q71" s="126">
        <v>140.97999999999999</v>
      </c>
      <c r="R71" s="170">
        <v>179.3</v>
      </c>
      <c r="S71" s="135"/>
      <c r="T71" s="132"/>
      <c r="U71" s="135"/>
      <c r="V71" s="132"/>
      <c r="W71" s="135"/>
      <c r="X71" s="135"/>
      <c r="Y71" s="135"/>
      <c r="Z71" s="132">
        <v>132.4</v>
      </c>
      <c r="AA71" s="132">
        <v>132.32</v>
      </c>
      <c r="AB71" s="132">
        <v>105.7</v>
      </c>
      <c r="AC71" s="132"/>
      <c r="AD71" s="132"/>
      <c r="AE71" s="132"/>
      <c r="AF71" s="132"/>
      <c r="AG71" s="132">
        <v>94.7</v>
      </c>
      <c r="AH71" s="132"/>
      <c r="AI71" s="132"/>
      <c r="AJ71" s="132">
        <v>113.5</v>
      </c>
      <c r="AK71" s="132"/>
      <c r="AL71" s="133"/>
    </row>
    <row r="72" spans="1:38" x14ac:dyDescent="0.35">
      <c r="A72" s="148">
        <v>34408</v>
      </c>
      <c r="B72" s="132">
        <v>458.38</v>
      </c>
      <c r="C72" s="132">
        <v>436.72</v>
      </c>
      <c r="D72" s="132">
        <v>209.22</v>
      </c>
      <c r="E72" s="132">
        <v>216.94</v>
      </c>
      <c r="F72" s="132">
        <v>269.26</v>
      </c>
      <c r="G72" s="126">
        <v>154.12</v>
      </c>
      <c r="H72" s="127">
        <v>154.16000000000003</v>
      </c>
      <c r="I72" s="132">
        <v>208.60000000000002</v>
      </c>
      <c r="J72" s="127">
        <v>222.35000000000002</v>
      </c>
      <c r="K72" s="127">
        <v>235.16</v>
      </c>
      <c r="L72" s="132">
        <v>211.94</v>
      </c>
      <c r="M72" s="127">
        <v>110.55000000000001</v>
      </c>
      <c r="N72" s="132"/>
      <c r="O72" s="126">
        <v>128.47</v>
      </c>
      <c r="P72" s="132"/>
      <c r="Q72" s="126">
        <v>141.09999999999997</v>
      </c>
      <c r="R72" s="170">
        <v>179.3</v>
      </c>
      <c r="S72" s="135"/>
      <c r="T72" s="132"/>
      <c r="U72" s="135"/>
      <c r="V72" s="132"/>
      <c r="W72" s="135"/>
      <c r="X72" s="135"/>
      <c r="Y72" s="135"/>
      <c r="Z72" s="132">
        <v>132.43</v>
      </c>
      <c r="AA72" s="132">
        <v>132.38</v>
      </c>
      <c r="AB72" s="132">
        <v>105.87</v>
      </c>
      <c r="AC72" s="132"/>
      <c r="AD72" s="132"/>
      <c r="AE72" s="132"/>
      <c r="AF72" s="132"/>
      <c r="AG72" s="132">
        <v>94.87</v>
      </c>
      <c r="AH72" s="132"/>
      <c r="AI72" s="132"/>
      <c r="AJ72" s="132">
        <v>112.58</v>
      </c>
      <c r="AK72" s="132"/>
      <c r="AL72" s="133"/>
    </row>
    <row r="73" spans="1:38" x14ac:dyDescent="0.35">
      <c r="A73" s="148">
        <v>34439</v>
      </c>
      <c r="B73" s="132">
        <v>458.68</v>
      </c>
      <c r="C73" s="132">
        <v>436.06</v>
      </c>
      <c r="D73" s="132">
        <v>208.2</v>
      </c>
      <c r="E73" s="132">
        <v>216.72</v>
      </c>
      <c r="F73" s="132">
        <v>268.32</v>
      </c>
      <c r="G73" s="126">
        <v>153.5</v>
      </c>
      <c r="H73" s="127">
        <v>154.43</v>
      </c>
      <c r="I73" s="132">
        <v>200.70000000000002</v>
      </c>
      <c r="J73" s="127">
        <v>223.33</v>
      </c>
      <c r="K73" s="127">
        <v>240.44</v>
      </c>
      <c r="L73" s="132">
        <v>211.72</v>
      </c>
      <c r="M73" s="127">
        <v>109.50000000000001</v>
      </c>
      <c r="N73" s="132">
        <v>136.35000000000002</v>
      </c>
      <c r="O73" s="126">
        <v>126.10000000000001</v>
      </c>
      <c r="P73" s="132"/>
      <c r="Q73" s="126">
        <v>137.88999999999999</v>
      </c>
      <c r="R73" s="170">
        <v>179.3</v>
      </c>
      <c r="S73" s="135"/>
      <c r="T73" s="132"/>
      <c r="U73" s="135"/>
      <c r="V73" s="132"/>
      <c r="W73" s="135"/>
      <c r="X73" s="135"/>
      <c r="Y73" s="135"/>
      <c r="Z73" s="132">
        <v>132.19999999999999</v>
      </c>
      <c r="AA73" s="132">
        <v>132.19999999999999</v>
      </c>
      <c r="AB73" s="132">
        <v>105.83</v>
      </c>
      <c r="AC73" s="132"/>
      <c r="AD73" s="132"/>
      <c r="AE73" s="132"/>
      <c r="AF73" s="132"/>
      <c r="AG73" s="132">
        <v>94.87</v>
      </c>
      <c r="AH73" s="132"/>
      <c r="AI73" s="132"/>
      <c r="AJ73" s="132">
        <v>111.75</v>
      </c>
      <c r="AK73" s="132"/>
      <c r="AL73" s="133"/>
    </row>
    <row r="74" spans="1:38" x14ac:dyDescent="0.35">
      <c r="A74" s="148">
        <v>34469</v>
      </c>
      <c r="B74" s="132">
        <v>458.26</v>
      </c>
      <c r="C74" s="132">
        <v>437.05</v>
      </c>
      <c r="D74" s="132">
        <v>208.43</v>
      </c>
      <c r="E74" s="132">
        <v>217.12</v>
      </c>
      <c r="F74" s="132">
        <v>269.23</v>
      </c>
      <c r="G74" s="126">
        <v>154.26000000000002</v>
      </c>
      <c r="H74" s="127">
        <v>154.74</v>
      </c>
      <c r="I74" s="132">
        <v>200.5</v>
      </c>
      <c r="J74" s="127">
        <v>223</v>
      </c>
      <c r="K74" s="127">
        <v>238.43</v>
      </c>
      <c r="L74" s="132">
        <v>211.74</v>
      </c>
      <c r="M74" s="127">
        <v>110.49000000000001</v>
      </c>
      <c r="N74" s="132">
        <v>138.06</v>
      </c>
      <c r="O74" s="126">
        <v>125.71000000000001</v>
      </c>
      <c r="P74" s="132"/>
      <c r="Q74" s="126">
        <v>136.94</v>
      </c>
      <c r="R74" s="170">
        <v>179.3</v>
      </c>
      <c r="S74" s="135"/>
      <c r="T74" s="132"/>
      <c r="U74" s="135"/>
      <c r="V74" s="132"/>
      <c r="W74" s="135"/>
      <c r="X74" s="135"/>
      <c r="Y74" s="135"/>
      <c r="Z74" s="132">
        <v>132.30000000000001</v>
      </c>
      <c r="AA74" s="132">
        <v>132.25</v>
      </c>
      <c r="AB74" s="132">
        <v>105.73</v>
      </c>
      <c r="AC74" s="132"/>
      <c r="AD74" s="132"/>
      <c r="AE74" s="132"/>
      <c r="AF74" s="132"/>
      <c r="AG74" s="132">
        <v>94.83</v>
      </c>
      <c r="AH74" s="132"/>
      <c r="AI74" s="132"/>
      <c r="AJ74" s="132">
        <v>110.8</v>
      </c>
      <c r="AK74" s="132"/>
      <c r="AL74" s="133"/>
    </row>
    <row r="75" spans="1:38" x14ac:dyDescent="0.35">
      <c r="A75" s="148">
        <v>34500</v>
      </c>
      <c r="B75" s="132">
        <v>458.18</v>
      </c>
      <c r="C75" s="132">
        <v>436.6</v>
      </c>
      <c r="D75" s="132">
        <v>208.45999999999998</v>
      </c>
      <c r="E75" s="132">
        <v>216.89999999999998</v>
      </c>
      <c r="F75" s="132">
        <v>269.02000000000004</v>
      </c>
      <c r="G75" s="126">
        <v>154.13</v>
      </c>
      <c r="H75" s="127">
        <v>154.68</v>
      </c>
      <c r="I75" s="132">
        <v>200.5</v>
      </c>
      <c r="J75" s="127">
        <v>223.01000000000002</v>
      </c>
      <c r="K75" s="127">
        <v>238.24</v>
      </c>
      <c r="L75" s="132">
        <v>211.78</v>
      </c>
      <c r="M75" s="127">
        <v>110.43</v>
      </c>
      <c r="N75" s="132">
        <v>137.94</v>
      </c>
      <c r="O75" s="126">
        <v>125.61000000000001</v>
      </c>
      <c r="P75" s="132"/>
      <c r="Q75" s="126">
        <v>136.87</v>
      </c>
      <c r="R75" s="170">
        <v>179.3</v>
      </c>
      <c r="S75" s="135"/>
      <c r="T75" s="132"/>
      <c r="U75" s="135"/>
      <c r="V75" s="132"/>
      <c r="W75" s="135"/>
      <c r="X75" s="135"/>
      <c r="Y75" s="135"/>
      <c r="Z75" s="132">
        <v>132.28</v>
      </c>
      <c r="AA75" s="132">
        <v>132.09</v>
      </c>
      <c r="AB75" s="132">
        <v>105.82</v>
      </c>
      <c r="AC75" s="132"/>
      <c r="AD75" s="132"/>
      <c r="AE75" s="132"/>
      <c r="AF75" s="132"/>
      <c r="AG75" s="132">
        <v>94.82</v>
      </c>
      <c r="AH75" s="132"/>
      <c r="AI75" s="132"/>
      <c r="AJ75" s="132">
        <v>110.03</v>
      </c>
      <c r="AK75" s="132"/>
      <c r="AL75" s="133"/>
    </row>
    <row r="76" spans="1:38" x14ac:dyDescent="0.35">
      <c r="A76" s="148">
        <v>34530</v>
      </c>
      <c r="B76" s="132">
        <v>458.23</v>
      </c>
      <c r="C76" s="132">
        <v>436.95</v>
      </c>
      <c r="D76" s="132">
        <v>208.44</v>
      </c>
      <c r="E76" s="132">
        <v>208.98</v>
      </c>
      <c r="F76" s="132">
        <v>269.04000000000002</v>
      </c>
      <c r="G76" s="126">
        <v>154.14000000000001</v>
      </c>
      <c r="H76" s="127">
        <v>154.64000000000001</v>
      </c>
      <c r="I76" s="132">
        <v>200.5</v>
      </c>
      <c r="J76" s="127">
        <v>223.66</v>
      </c>
      <c r="K76" s="127">
        <v>238.74</v>
      </c>
      <c r="L76" s="132">
        <v>211.8</v>
      </c>
      <c r="M76" s="127">
        <v>110.45000000000002</v>
      </c>
      <c r="N76" s="132">
        <v>137.74</v>
      </c>
      <c r="O76" s="126">
        <v>125.64000000000001</v>
      </c>
      <c r="P76" s="132"/>
      <c r="Q76" s="126">
        <v>136.82</v>
      </c>
      <c r="R76" s="170">
        <v>179.3</v>
      </c>
      <c r="S76" s="135"/>
      <c r="T76" s="132"/>
      <c r="U76" s="135"/>
      <c r="V76" s="132"/>
      <c r="W76" s="135"/>
      <c r="X76" s="135"/>
      <c r="Y76" s="135"/>
      <c r="Z76" s="132">
        <v>132.19</v>
      </c>
      <c r="AA76" s="132">
        <v>131.94999999999999</v>
      </c>
      <c r="AB76" s="132">
        <v>105.75</v>
      </c>
      <c r="AC76" s="132"/>
      <c r="AD76" s="132"/>
      <c r="AE76" s="132"/>
      <c r="AF76" s="132"/>
      <c r="AG76" s="132">
        <v>94.61</v>
      </c>
      <c r="AH76" s="132"/>
      <c r="AI76" s="132"/>
      <c r="AJ76" s="132">
        <v>109.5</v>
      </c>
      <c r="AK76" s="132"/>
      <c r="AL76" s="133"/>
    </row>
    <row r="77" spans="1:38" x14ac:dyDescent="0.35">
      <c r="A77" s="148">
        <v>34561</v>
      </c>
      <c r="B77" s="132">
        <v>457.58</v>
      </c>
      <c r="C77" s="132">
        <v>436.83</v>
      </c>
      <c r="D77" s="132">
        <v>208.95999999999998</v>
      </c>
      <c r="E77" s="132">
        <v>209.07</v>
      </c>
      <c r="F77" s="132">
        <v>269.44</v>
      </c>
      <c r="G77" s="126">
        <v>154.22000000000003</v>
      </c>
      <c r="H77" s="127">
        <v>154.52000000000001</v>
      </c>
      <c r="I77" s="132">
        <v>200.97</v>
      </c>
      <c r="J77" s="127">
        <v>223.54000000000002</v>
      </c>
      <c r="K77" s="127">
        <v>238.84</v>
      </c>
      <c r="L77" s="132">
        <v>211.88</v>
      </c>
      <c r="M77" s="127">
        <v>110.80000000000001</v>
      </c>
      <c r="N77" s="132">
        <v>137.66000000000003</v>
      </c>
      <c r="O77" s="126">
        <v>125.57000000000001</v>
      </c>
      <c r="P77" s="132"/>
      <c r="Q77" s="126">
        <v>136.96999999999997</v>
      </c>
      <c r="R77" s="170">
        <v>179.3</v>
      </c>
      <c r="S77" s="135"/>
      <c r="T77" s="132"/>
      <c r="U77" s="135"/>
      <c r="V77" s="132"/>
      <c r="W77" s="135"/>
      <c r="X77" s="135"/>
      <c r="Y77" s="135"/>
      <c r="Z77" s="132">
        <v>132</v>
      </c>
      <c r="AA77" s="132">
        <v>131.92000000000002</v>
      </c>
      <c r="AB77" s="132">
        <v>105.67</v>
      </c>
      <c r="AC77" s="132"/>
      <c r="AD77" s="132"/>
      <c r="AE77" s="132"/>
      <c r="AF77" s="132"/>
      <c r="AG77" s="132">
        <v>94.5</v>
      </c>
      <c r="AH77" s="132"/>
      <c r="AI77" s="132"/>
      <c r="AJ77" s="132">
        <v>109.16</v>
      </c>
      <c r="AK77" s="132"/>
      <c r="AL77" s="133"/>
    </row>
    <row r="78" spans="1:38" x14ac:dyDescent="0.35">
      <c r="A78" s="148">
        <v>34606</v>
      </c>
      <c r="B78" s="132">
        <v>457.64</v>
      </c>
      <c r="C78" s="132">
        <v>436.7</v>
      </c>
      <c r="D78" s="132">
        <v>208.32</v>
      </c>
      <c r="E78" s="132">
        <v>216.89999999999998</v>
      </c>
      <c r="F78" s="132">
        <v>267.3</v>
      </c>
      <c r="G78" s="126">
        <v>154.08000000000001</v>
      </c>
      <c r="H78" s="127">
        <v>154.52000000000001</v>
      </c>
      <c r="I78" s="132">
        <v>201.85000000000002</v>
      </c>
      <c r="J78" s="127">
        <v>222.37</v>
      </c>
      <c r="K78" s="127">
        <v>235.66</v>
      </c>
      <c r="L78" s="132">
        <v>211.95000000000002</v>
      </c>
      <c r="M78" s="127">
        <v>108.51000000000002</v>
      </c>
      <c r="N78" s="132">
        <v>137.07</v>
      </c>
      <c r="O78" s="126">
        <v>125.19000000000001</v>
      </c>
      <c r="P78" s="132"/>
      <c r="Q78" s="126">
        <v>133.97999999999999</v>
      </c>
      <c r="R78" s="170">
        <v>179.3</v>
      </c>
      <c r="S78" s="135"/>
      <c r="T78" s="132"/>
      <c r="U78" s="135"/>
      <c r="V78" s="132"/>
      <c r="W78" s="135"/>
      <c r="X78" s="135"/>
      <c r="Y78" s="135"/>
      <c r="Z78" s="132">
        <v>132</v>
      </c>
      <c r="AA78" s="132">
        <v>131.94999999999999</v>
      </c>
      <c r="AB78" s="132">
        <v>105.69</v>
      </c>
      <c r="AC78" s="132"/>
      <c r="AD78" s="132"/>
      <c r="AE78" s="132"/>
      <c r="AF78" s="132"/>
      <c r="AG78" s="132">
        <v>94.45</v>
      </c>
      <c r="AH78" s="132"/>
      <c r="AI78" s="132"/>
      <c r="AJ78" s="132">
        <v>108.74000000000001</v>
      </c>
      <c r="AK78" s="132"/>
      <c r="AL78" s="133"/>
    </row>
    <row r="79" spans="1:38" x14ac:dyDescent="0.35">
      <c r="A79" s="148">
        <v>34622</v>
      </c>
      <c r="B79" s="132">
        <v>455.5</v>
      </c>
      <c r="C79" s="132">
        <v>436.67</v>
      </c>
      <c r="D79" s="132">
        <v>208.29</v>
      </c>
      <c r="E79" s="132">
        <v>216.57</v>
      </c>
      <c r="F79" s="132">
        <v>266.86</v>
      </c>
      <c r="G79" s="126">
        <v>153.88</v>
      </c>
      <c r="H79" s="127">
        <v>154.94</v>
      </c>
      <c r="I79" s="132">
        <v>201.22</v>
      </c>
      <c r="J79" s="127">
        <v>222.46</v>
      </c>
      <c r="K79" s="127">
        <v>234.92000000000002</v>
      </c>
      <c r="L79" s="132">
        <v>211.63</v>
      </c>
      <c r="M79" s="127">
        <v>108.38000000000001</v>
      </c>
      <c r="N79" s="132"/>
      <c r="O79" s="126">
        <v>125.16000000000001</v>
      </c>
      <c r="P79" s="132"/>
      <c r="Q79" s="126">
        <v>133.13999999999999</v>
      </c>
      <c r="R79" s="170">
        <v>179.3</v>
      </c>
      <c r="S79" s="135"/>
      <c r="T79" s="132"/>
      <c r="U79" s="135"/>
      <c r="V79" s="132"/>
      <c r="W79" s="135"/>
      <c r="X79" s="135"/>
      <c r="Y79" s="135"/>
      <c r="Z79" s="132">
        <v>132.06</v>
      </c>
      <c r="AA79" s="132">
        <v>132</v>
      </c>
      <c r="AB79" s="132">
        <v>105.75</v>
      </c>
      <c r="AC79" s="132"/>
      <c r="AD79" s="132"/>
      <c r="AE79" s="132"/>
      <c r="AF79" s="132"/>
      <c r="AG79" s="132">
        <v>94.5</v>
      </c>
      <c r="AH79" s="132"/>
      <c r="AI79" s="132"/>
      <c r="AJ79" s="132">
        <v>108.77000000000001</v>
      </c>
      <c r="AK79" s="132"/>
      <c r="AL79" s="133"/>
    </row>
    <row r="80" spans="1:38" x14ac:dyDescent="0.35">
      <c r="A80" s="148">
        <v>34653</v>
      </c>
      <c r="B80" s="132">
        <v>455.8</v>
      </c>
      <c r="C80" s="132">
        <v>436.9</v>
      </c>
      <c r="D80" s="132">
        <v>208.6</v>
      </c>
      <c r="E80" s="132">
        <v>216.54</v>
      </c>
      <c r="F80" s="132">
        <v>267.08000000000004</v>
      </c>
      <c r="G80" s="126">
        <v>152.9</v>
      </c>
      <c r="H80" s="127">
        <v>154.62</v>
      </c>
      <c r="I80" s="132">
        <v>200.60000000000002</v>
      </c>
      <c r="J80" s="127">
        <v>222.51000000000002</v>
      </c>
      <c r="K80" s="127">
        <v>235.18</v>
      </c>
      <c r="L80" s="132">
        <v>211.76000000000002</v>
      </c>
      <c r="M80" s="127">
        <v>108.81</v>
      </c>
      <c r="N80" s="132"/>
      <c r="O80" s="126">
        <v>125.28</v>
      </c>
      <c r="P80" s="132"/>
      <c r="Q80" s="126">
        <v>132.70999999999998</v>
      </c>
      <c r="R80" s="170">
        <v>179.3</v>
      </c>
      <c r="S80" s="135"/>
      <c r="T80" s="132"/>
      <c r="U80" s="135"/>
      <c r="V80" s="132"/>
      <c r="W80" s="135"/>
      <c r="X80" s="135"/>
      <c r="Y80" s="135"/>
      <c r="Z80" s="132">
        <v>131.97999999999999</v>
      </c>
      <c r="AA80" s="132">
        <v>131.97</v>
      </c>
      <c r="AB80" s="132">
        <v>105.62</v>
      </c>
      <c r="AC80" s="132"/>
      <c r="AD80" s="132"/>
      <c r="AE80" s="132"/>
      <c r="AF80" s="132"/>
      <c r="AG80" s="132">
        <v>94.43</v>
      </c>
      <c r="AH80" s="132"/>
      <c r="AI80" s="132"/>
      <c r="AJ80" s="132">
        <v>108.52000000000001</v>
      </c>
      <c r="AK80" s="132"/>
      <c r="AL80" s="133"/>
    </row>
    <row r="81" spans="1:38" x14ac:dyDescent="0.35">
      <c r="A81" s="148">
        <v>34683</v>
      </c>
      <c r="B81" s="132">
        <v>458.27</v>
      </c>
      <c r="C81" s="132">
        <v>437.08</v>
      </c>
      <c r="D81" s="132">
        <v>208.72</v>
      </c>
      <c r="E81" s="132">
        <v>216.7</v>
      </c>
      <c r="F81" s="132">
        <v>268.03000000000003</v>
      </c>
      <c r="G81" s="126">
        <v>153.89000000000001</v>
      </c>
      <c r="H81" s="127">
        <v>154.64000000000001</v>
      </c>
      <c r="I81" s="132">
        <v>200.5</v>
      </c>
      <c r="J81" s="127">
        <v>222.5</v>
      </c>
      <c r="K81" s="127">
        <v>234.88</v>
      </c>
      <c r="L81" s="132">
        <v>211.84</v>
      </c>
      <c r="M81" s="127">
        <v>108.85000000000001</v>
      </c>
      <c r="N81" s="132"/>
      <c r="O81" s="126">
        <v>124.81</v>
      </c>
      <c r="P81" s="132"/>
      <c r="Q81" s="126">
        <v>131.13999999999999</v>
      </c>
      <c r="R81" s="170">
        <v>179.3</v>
      </c>
      <c r="S81" s="135"/>
      <c r="T81" s="132"/>
      <c r="U81" s="135"/>
      <c r="V81" s="132"/>
      <c r="W81" s="135"/>
      <c r="X81" s="135"/>
      <c r="Y81" s="135"/>
      <c r="Z81" s="132">
        <v>132</v>
      </c>
      <c r="AA81" s="132">
        <v>131.96</v>
      </c>
      <c r="AB81" s="132">
        <v>105.7</v>
      </c>
      <c r="AC81" s="132"/>
      <c r="AD81" s="132"/>
      <c r="AE81" s="132"/>
      <c r="AF81" s="132"/>
      <c r="AG81" s="132">
        <v>94.32</v>
      </c>
      <c r="AH81" s="132"/>
      <c r="AI81" s="132"/>
      <c r="AJ81" s="132">
        <v>108.33</v>
      </c>
      <c r="AK81" s="132"/>
      <c r="AL81" s="133"/>
    </row>
    <row r="82" spans="1:38" x14ac:dyDescent="0.35">
      <c r="A82" s="148">
        <v>34714</v>
      </c>
      <c r="B82" s="132">
        <v>458.26</v>
      </c>
      <c r="C82" s="132">
        <v>439.4</v>
      </c>
      <c r="D82" s="132">
        <v>209.04</v>
      </c>
      <c r="E82" s="132">
        <v>217.98</v>
      </c>
      <c r="F82" s="132">
        <v>272.34000000000003</v>
      </c>
      <c r="G82" s="126">
        <v>156.92000000000002</v>
      </c>
      <c r="H82" s="127">
        <v>155.08000000000001</v>
      </c>
      <c r="I82" s="132">
        <v>213.3</v>
      </c>
      <c r="J82" s="127">
        <v>224.35000000000002</v>
      </c>
      <c r="K82" s="127">
        <v>246.74</v>
      </c>
      <c r="L82" s="132">
        <v>213.96</v>
      </c>
      <c r="M82" s="127">
        <v>109.59</v>
      </c>
      <c r="N82" s="132">
        <v>152.51000000000002</v>
      </c>
      <c r="O82" s="126">
        <v>125.67000000000002</v>
      </c>
      <c r="P82" s="132"/>
      <c r="Q82" s="126">
        <v>138.88999999999999</v>
      </c>
      <c r="R82" s="170">
        <v>179.3</v>
      </c>
      <c r="S82" s="135"/>
      <c r="T82" s="132"/>
      <c r="U82" s="135"/>
      <c r="V82" s="132"/>
      <c r="W82" s="135"/>
      <c r="X82" s="135"/>
      <c r="Y82" s="135"/>
      <c r="Z82" s="132">
        <v>134.05000000000001</v>
      </c>
      <c r="AA82" s="132">
        <v>133.97</v>
      </c>
      <c r="AB82" s="132">
        <v>105.7</v>
      </c>
      <c r="AC82" s="132"/>
      <c r="AD82" s="132"/>
      <c r="AE82" s="132"/>
      <c r="AF82" s="132"/>
      <c r="AG82" s="132">
        <v>95.16</v>
      </c>
      <c r="AH82" s="132"/>
      <c r="AI82" s="132"/>
      <c r="AJ82" s="132">
        <v>108.53999999999999</v>
      </c>
      <c r="AK82" s="132"/>
      <c r="AL82" s="133"/>
    </row>
    <row r="83" spans="1:38" x14ac:dyDescent="0.35">
      <c r="A83" s="148">
        <v>34745</v>
      </c>
      <c r="B83" s="132">
        <v>457.83</v>
      </c>
      <c r="C83" s="132">
        <v>439.92</v>
      </c>
      <c r="D83" s="132">
        <v>210.6</v>
      </c>
      <c r="E83" s="132">
        <v>219.13</v>
      </c>
      <c r="F83" s="132">
        <v>273.47000000000003</v>
      </c>
      <c r="G83" s="126">
        <v>157.47000000000003</v>
      </c>
      <c r="H83" s="127">
        <v>155.22000000000003</v>
      </c>
      <c r="I83" s="132">
        <v>213.3</v>
      </c>
      <c r="J83" s="127">
        <v>226.22</v>
      </c>
      <c r="K83" s="127">
        <v>243.88</v>
      </c>
      <c r="L83" s="132">
        <v>213.94</v>
      </c>
      <c r="M83" s="127">
        <v>113.95000000000002</v>
      </c>
      <c r="N83" s="132">
        <v>141.26000000000002</v>
      </c>
      <c r="O83" s="126">
        <v>127.87</v>
      </c>
      <c r="P83" s="132"/>
      <c r="Q83" s="126">
        <v>146.73999999999998</v>
      </c>
      <c r="R83" s="170">
        <v>179.3</v>
      </c>
      <c r="S83" s="135"/>
      <c r="T83" s="132"/>
      <c r="U83" s="135"/>
      <c r="V83" s="132"/>
      <c r="W83" s="135"/>
      <c r="X83" s="135"/>
      <c r="Y83" s="135"/>
      <c r="Z83" s="132">
        <v>136.42000000000002</v>
      </c>
      <c r="AA83" s="132">
        <v>136.4</v>
      </c>
      <c r="AB83" s="132">
        <v>105.63</v>
      </c>
      <c r="AC83" s="132"/>
      <c r="AD83" s="132"/>
      <c r="AE83" s="132"/>
      <c r="AF83" s="132"/>
      <c r="AG83" s="132">
        <v>94.86</v>
      </c>
      <c r="AH83" s="132"/>
      <c r="AI83" s="132"/>
      <c r="AJ83" s="132">
        <v>110.9</v>
      </c>
      <c r="AK83" s="132"/>
      <c r="AL83" s="133"/>
    </row>
    <row r="84" spans="1:38" x14ac:dyDescent="0.35">
      <c r="A84" s="148">
        <v>34773</v>
      </c>
      <c r="B84" s="132">
        <v>459.74</v>
      </c>
      <c r="C84" s="132">
        <v>439.88</v>
      </c>
      <c r="D84" s="132">
        <v>210.84</v>
      </c>
      <c r="E84" s="132">
        <v>219.63</v>
      </c>
      <c r="F84" s="132">
        <v>274.66000000000003</v>
      </c>
      <c r="G84" s="126">
        <v>159.20000000000002</v>
      </c>
      <c r="H84" s="127">
        <v>157.22000000000003</v>
      </c>
      <c r="I84" s="132">
        <v>213.3</v>
      </c>
      <c r="J84" s="127">
        <v>226.91</v>
      </c>
      <c r="K84" s="127">
        <v>246.21</v>
      </c>
      <c r="L84" s="132">
        <v>214.83</v>
      </c>
      <c r="M84" s="127">
        <v>113.35000000000001</v>
      </c>
      <c r="N84" s="132">
        <v>150.80000000000001</v>
      </c>
      <c r="O84" s="126">
        <v>130.29000000000002</v>
      </c>
      <c r="P84" s="132">
        <v>155.94</v>
      </c>
      <c r="Q84" s="126">
        <v>151.47999999999999</v>
      </c>
      <c r="R84" s="170">
        <v>179.3</v>
      </c>
      <c r="S84" s="135"/>
      <c r="T84" s="132"/>
      <c r="U84" s="135"/>
      <c r="V84" s="132"/>
      <c r="W84" s="135"/>
      <c r="X84" s="135"/>
      <c r="Y84" s="135"/>
      <c r="Z84" s="132">
        <v>138.38999999999999</v>
      </c>
      <c r="AA84" s="132">
        <v>138.47</v>
      </c>
      <c r="AB84" s="132">
        <v>105.9</v>
      </c>
      <c r="AC84" s="132"/>
      <c r="AD84" s="132"/>
      <c r="AE84" s="132"/>
      <c r="AF84" s="132"/>
      <c r="AG84" s="132">
        <v>96</v>
      </c>
      <c r="AH84" s="132"/>
      <c r="AI84" s="132"/>
      <c r="AJ84" s="132">
        <v>113.24000000000001</v>
      </c>
      <c r="AK84" s="132"/>
      <c r="AL84" s="133"/>
    </row>
    <row r="85" spans="1:38" x14ac:dyDescent="0.35">
      <c r="A85" s="148">
        <v>34804</v>
      </c>
      <c r="B85" s="132">
        <v>463.77</v>
      </c>
      <c r="C85" s="132">
        <v>438.96</v>
      </c>
      <c r="D85" s="132">
        <v>211.38</v>
      </c>
      <c r="E85" s="132">
        <v>219.39999999999998</v>
      </c>
      <c r="F85" s="132">
        <v>274.63</v>
      </c>
      <c r="G85" s="126">
        <v>158.18</v>
      </c>
      <c r="H85" s="127">
        <v>158.20000000000002</v>
      </c>
      <c r="I85" s="132">
        <v>202.15</v>
      </c>
      <c r="J85" s="127">
        <v>225.92000000000002</v>
      </c>
      <c r="K85" s="127">
        <v>240.31</v>
      </c>
      <c r="L85" s="132">
        <v>214.26000000000002</v>
      </c>
      <c r="M85" s="127">
        <v>116.79000000000002</v>
      </c>
      <c r="N85" s="132">
        <v>139.87</v>
      </c>
      <c r="O85" s="126">
        <v>133.26000000000002</v>
      </c>
      <c r="P85" s="132"/>
      <c r="Q85" s="126">
        <v>154.11999999999998</v>
      </c>
      <c r="R85" s="170">
        <v>179.3</v>
      </c>
      <c r="S85" s="135"/>
      <c r="T85" s="132"/>
      <c r="U85" s="135"/>
      <c r="V85" s="132"/>
      <c r="W85" s="135"/>
      <c r="X85" s="135"/>
      <c r="Y85" s="135"/>
      <c r="Z85" s="132">
        <v>135.29</v>
      </c>
      <c r="AA85" s="132">
        <v>135.30000000000001</v>
      </c>
      <c r="AB85" s="132">
        <v>105.95</v>
      </c>
      <c r="AC85" s="132"/>
      <c r="AD85" s="132"/>
      <c r="AE85" s="132"/>
      <c r="AF85" s="132"/>
      <c r="AG85" s="132">
        <v>95.740000000000009</v>
      </c>
      <c r="AH85" s="132"/>
      <c r="AI85" s="132"/>
      <c r="AJ85" s="132">
        <v>116.31</v>
      </c>
      <c r="AK85" s="132"/>
      <c r="AL85" s="133"/>
    </row>
    <row r="86" spans="1:38" x14ac:dyDescent="0.35">
      <c r="A86" s="154">
        <v>34834</v>
      </c>
      <c r="B86" s="132">
        <v>463.92</v>
      </c>
      <c r="C86" s="132">
        <v>438.16</v>
      </c>
      <c r="D86" s="132">
        <v>211.35999999999999</v>
      </c>
      <c r="E86" s="132">
        <v>219.32</v>
      </c>
      <c r="F86" s="132">
        <v>273.74</v>
      </c>
      <c r="G86" s="126">
        <v>158.09</v>
      </c>
      <c r="H86" s="127">
        <v>158.18</v>
      </c>
      <c r="I86" s="132">
        <v>201.28</v>
      </c>
      <c r="J86" s="127">
        <v>225.89000000000001</v>
      </c>
      <c r="K86" s="127">
        <v>240.24</v>
      </c>
      <c r="L86" s="132">
        <v>214.46</v>
      </c>
      <c r="M86" s="127">
        <v>115.99000000000001</v>
      </c>
      <c r="N86" s="132">
        <v>139.91000000000003</v>
      </c>
      <c r="O86" s="126">
        <v>133.27000000000001</v>
      </c>
      <c r="P86" s="132"/>
      <c r="Q86" s="126">
        <v>154.17999999999998</v>
      </c>
      <c r="R86" s="170">
        <v>179.3</v>
      </c>
      <c r="S86" s="135"/>
      <c r="T86" s="132"/>
      <c r="U86" s="135"/>
      <c r="V86" s="132"/>
      <c r="W86" s="135"/>
      <c r="X86" s="135"/>
      <c r="Y86" s="135"/>
      <c r="Z86" s="132">
        <v>133.69999999999999</v>
      </c>
      <c r="AA86" s="132">
        <v>133.61000000000001</v>
      </c>
      <c r="AB86" s="132">
        <v>106.28999999999999</v>
      </c>
      <c r="AC86" s="132"/>
      <c r="AD86" s="132"/>
      <c r="AE86" s="132"/>
      <c r="AF86" s="132"/>
      <c r="AG86" s="132">
        <v>95.57</v>
      </c>
      <c r="AH86" s="132"/>
      <c r="AI86" s="132"/>
      <c r="AJ86" s="132">
        <v>118.33</v>
      </c>
      <c r="AK86" s="132"/>
      <c r="AL86" s="133"/>
    </row>
    <row r="87" spans="1:38" x14ac:dyDescent="0.35">
      <c r="A87" s="154">
        <v>34865</v>
      </c>
      <c r="B87" s="132">
        <v>463.26</v>
      </c>
      <c r="C87" s="132">
        <v>436.92</v>
      </c>
      <c r="D87" s="132">
        <v>210.59</v>
      </c>
      <c r="E87" s="132">
        <v>218.32999999999998</v>
      </c>
      <c r="F87" s="132">
        <v>272.02000000000004</v>
      </c>
      <c r="G87" s="126">
        <v>156.30000000000001</v>
      </c>
      <c r="H87" s="127">
        <v>156.27000000000001</v>
      </c>
      <c r="I87" s="132">
        <v>200.5</v>
      </c>
      <c r="J87" s="127">
        <v>224.23000000000002</v>
      </c>
      <c r="K87" s="127">
        <v>238.2</v>
      </c>
      <c r="L87" s="132">
        <v>212.95000000000002</v>
      </c>
      <c r="M87" s="127">
        <v>115.48000000000002</v>
      </c>
      <c r="N87" s="132"/>
      <c r="O87" s="126">
        <v>133.55000000000001</v>
      </c>
      <c r="P87" s="132"/>
      <c r="Q87" s="126">
        <v>150.21999999999997</v>
      </c>
      <c r="R87" s="170">
        <v>179.3</v>
      </c>
      <c r="S87" s="135"/>
      <c r="T87" s="132"/>
      <c r="U87" s="135"/>
      <c r="V87" s="132"/>
      <c r="W87" s="135"/>
      <c r="X87" s="135"/>
      <c r="Y87" s="135"/>
      <c r="Z87" s="132">
        <v>133.31</v>
      </c>
      <c r="AA87" s="132">
        <v>134.21</v>
      </c>
      <c r="AB87" s="132">
        <v>106.64</v>
      </c>
      <c r="AC87" s="132"/>
      <c r="AD87" s="132"/>
      <c r="AE87" s="132"/>
      <c r="AF87" s="132"/>
      <c r="AG87" s="132">
        <v>95.4</v>
      </c>
      <c r="AH87" s="132"/>
      <c r="AI87" s="132"/>
      <c r="AJ87" s="132">
        <v>118.92</v>
      </c>
      <c r="AK87" s="132"/>
      <c r="AL87" s="133"/>
    </row>
    <row r="88" spans="1:38" x14ac:dyDescent="0.35">
      <c r="A88" s="154">
        <v>34895</v>
      </c>
      <c r="B88" s="132">
        <v>461.48</v>
      </c>
      <c r="C88" s="132">
        <v>437.68</v>
      </c>
      <c r="D88" s="132">
        <v>210.22</v>
      </c>
      <c r="E88" s="132">
        <v>218.14</v>
      </c>
      <c r="F88" s="132">
        <v>271.11</v>
      </c>
      <c r="G88" s="126">
        <v>156.06</v>
      </c>
      <c r="H88" s="127">
        <v>156.74</v>
      </c>
      <c r="I88" s="132">
        <v>200.5</v>
      </c>
      <c r="J88" s="127">
        <v>223.70000000000002</v>
      </c>
      <c r="K88" s="127">
        <v>237.61</v>
      </c>
      <c r="L88" s="132">
        <v>212.63</v>
      </c>
      <c r="M88" s="127">
        <v>114.62</v>
      </c>
      <c r="N88" s="132"/>
      <c r="O88" s="126">
        <v>132.9</v>
      </c>
      <c r="P88" s="132"/>
      <c r="Q88" s="126">
        <v>147.67999999999998</v>
      </c>
      <c r="R88" s="170">
        <v>179.3</v>
      </c>
      <c r="S88" s="135"/>
      <c r="T88" s="132"/>
      <c r="U88" s="135"/>
      <c r="V88" s="132"/>
      <c r="W88" s="135"/>
      <c r="X88" s="135"/>
      <c r="Y88" s="135"/>
      <c r="Z88" s="132">
        <v>133.26</v>
      </c>
      <c r="AA88" s="132">
        <v>133.13</v>
      </c>
      <c r="AB88" s="132">
        <v>106.86</v>
      </c>
      <c r="AC88" s="132"/>
      <c r="AD88" s="132"/>
      <c r="AE88" s="132"/>
      <c r="AF88" s="132"/>
      <c r="AG88" s="132">
        <v>95.25</v>
      </c>
      <c r="AH88" s="132"/>
      <c r="AI88" s="132"/>
      <c r="AJ88" s="132">
        <v>118.7</v>
      </c>
      <c r="AK88" s="132"/>
      <c r="AL88" s="133"/>
    </row>
    <row r="89" spans="1:38" x14ac:dyDescent="0.35">
      <c r="A89" s="154">
        <v>34926</v>
      </c>
      <c r="B89" s="132">
        <v>461.36</v>
      </c>
      <c r="C89" s="132">
        <v>437.6</v>
      </c>
      <c r="D89" s="132">
        <v>209.89999999999998</v>
      </c>
      <c r="E89" s="132">
        <v>217.88</v>
      </c>
      <c r="F89" s="132">
        <v>271.16000000000003</v>
      </c>
      <c r="G89" s="126">
        <v>155.98000000000002</v>
      </c>
      <c r="H89" s="127">
        <v>156.74</v>
      </c>
      <c r="I89" s="132">
        <v>200.5</v>
      </c>
      <c r="J89" s="127">
        <v>223.41</v>
      </c>
      <c r="K89" s="127">
        <v>237.5</v>
      </c>
      <c r="L89" s="132">
        <v>212.60000000000002</v>
      </c>
      <c r="M89" s="127">
        <v>114.15</v>
      </c>
      <c r="N89" s="132"/>
      <c r="O89" s="126">
        <v>132.74</v>
      </c>
      <c r="P89" s="132"/>
      <c r="Q89" s="126">
        <v>147.56</v>
      </c>
      <c r="R89" s="170">
        <v>179.3</v>
      </c>
      <c r="S89" s="135"/>
      <c r="T89" s="132"/>
      <c r="U89" s="135"/>
      <c r="V89" s="132"/>
      <c r="W89" s="135"/>
      <c r="X89" s="135"/>
      <c r="Y89" s="135"/>
      <c r="Z89" s="132">
        <v>133.22999999999999</v>
      </c>
      <c r="AA89" s="132">
        <v>133.07999999999998</v>
      </c>
      <c r="AB89" s="132">
        <v>107.08</v>
      </c>
      <c r="AC89" s="132"/>
      <c r="AD89" s="132"/>
      <c r="AE89" s="132"/>
      <c r="AF89" s="132"/>
      <c r="AG89" s="132">
        <v>95.18</v>
      </c>
      <c r="AH89" s="132"/>
      <c r="AI89" s="132"/>
      <c r="AJ89" s="132">
        <v>118.46000000000001</v>
      </c>
      <c r="AK89" s="132"/>
      <c r="AL89" s="133"/>
    </row>
    <row r="90" spans="1:38" x14ac:dyDescent="0.35">
      <c r="A90" s="154">
        <v>34957</v>
      </c>
      <c r="B90" s="132">
        <v>460.58</v>
      </c>
      <c r="C90" s="135">
        <v>437.14</v>
      </c>
      <c r="D90" s="135">
        <v>209.76</v>
      </c>
      <c r="E90" s="132">
        <v>217.64</v>
      </c>
      <c r="F90" s="132">
        <v>271.52000000000004</v>
      </c>
      <c r="G90" s="126">
        <v>155.5</v>
      </c>
      <c r="H90" s="127">
        <v>155.94</v>
      </c>
      <c r="I90" s="132">
        <v>200.5</v>
      </c>
      <c r="J90" s="127">
        <v>223.39000000000001</v>
      </c>
      <c r="K90" s="127">
        <v>237.04</v>
      </c>
      <c r="L90" s="132">
        <v>212.01000000000002</v>
      </c>
      <c r="M90" s="127">
        <v>114.69000000000001</v>
      </c>
      <c r="N90" s="135"/>
      <c r="O90" s="126">
        <v>132.55000000000001</v>
      </c>
      <c r="P90" s="135"/>
      <c r="Q90" s="128">
        <v>147.45999999999998</v>
      </c>
      <c r="R90" s="170">
        <v>179.3</v>
      </c>
      <c r="S90" s="135"/>
      <c r="T90" s="135"/>
      <c r="U90" s="135"/>
      <c r="V90" s="135"/>
      <c r="W90" s="135"/>
      <c r="X90" s="135"/>
      <c r="Y90" s="135"/>
      <c r="Z90" s="132">
        <v>133.21</v>
      </c>
      <c r="AA90" s="132">
        <v>133.05000000000001</v>
      </c>
      <c r="AB90" s="132">
        <v>107.42</v>
      </c>
      <c r="AC90" s="132"/>
      <c r="AD90" s="132"/>
      <c r="AE90" s="132"/>
      <c r="AF90" s="132"/>
      <c r="AG90" s="132">
        <v>95.16</v>
      </c>
      <c r="AH90" s="132"/>
      <c r="AI90" s="132"/>
      <c r="AJ90" s="132">
        <v>117.67</v>
      </c>
      <c r="AK90" s="132"/>
      <c r="AL90" s="133"/>
    </row>
    <row r="91" spans="1:38" x14ac:dyDescent="0.35">
      <c r="A91" s="154">
        <v>34987</v>
      </c>
      <c r="B91" s="132">
        <v>460.33</v>
      </c>
      <c r="C91" s="132">
        <v>437.09</v>
      </c>
      <c r="D91" s="132">
        <v>210.35999999999999</v>
      </c>
      <c r="E91" s="132">
        <v>218.14999999999998</v>
      </c>
      <c r="F91" s="132">
        <v>269.71000000000004</v>
      </c>
      <c r="G91" s="126">
        <v>155.05000000000001</v>
      </c>
      <c r="H91" s="127">
        <v>155.69</v>
      </c>
      <c r="I91" s="132">
        <v>200.5</v>
      </c>
      <c r="J91" s="127">
        <v>223.16</v>
      </c>
      <c r="K91" s="127">
        <v>236.06</v>
      </c>
      <c r="L91" s="132">
        <v>211.94</v>
      </c>
      <c r="M91" s="127">
        <v>111.56</v>
      </c>
      <c r="N91" s="132"/>
      <c r="O91" s="126">
        <v>130.99</v>
      </c>
      <c r="P91" s="132"/>
      <c r="Q91" s="126">
        <v>142.33999999999997</v>
      </c>
      <c r="R91" s="170">
        <v>179.3</v>
      </c>
      <c r="S91" s="135"/>
      <c r="T91" s="132"/>
      <c r="U91" s="135"/>
      <c r="V91" s="132"/>
      <c r="W91" s="135"/>
      <c r="X91" s="135"/>
      <c r="Y91" s="135"/>
      <c r="Z91" s="132">
        <v>132.96</v>
      </c>
      <c r="AA91" s="132">
        <v>132.88999999999999</v>
      </c>
      <c r="AB91" s="132">
        <v>107.46000000000001</v>
      </c>
      <c r="AC91" s="132"/>
      <c r="AD91" s="132"/>
      <c r="AE91" s="132"/>
      <c r="AF91" s="132"/>
      <c r="AG91" s="132">
        <v>94.95</v>
      </c>
      <c r="AH91" s="132"/>
      <c r="AI91" s="132"/>
      <c r="AJ91" s="132">
        <v>116.59</v>
      </c>
      <c r="AK91" s="132"/>
      <c r="AL91" s="133"/>
    </row>
    <row r="92" spans="1:38" x14ac:dyDescent="0.35">
      <c r="A92" s="154">
        <v>35018</v>
      </c>
      <c r="B92" s="132">
        <v>460.1</v>
      </c>
      <c r="C92" s="132">
        <v>437.04</v>
      </c>
      <c r="D92" s="132">
        <v>210.26999999999998</v>
      </c>
      <c r="E92" s="132">
        <v>218</v>
      </c>
      <c r="F92" s="132">
        <v>268.41000000000003</v>
      </c>
      <c r="G92" s="126">
        <v>154.80000000000001</v>
      </c>
      <c r="H92" s="127">
        <v>155.51000000000002</v>
      </c>
      <c r="I92" s="132">
        <v>200.5</v>
      </c>
      <c r="J92" s="127">
        <v>223.01000000000002</v>
      </c>
      <c r="K92" s="127">
        <v>236.14000000000001</v>
      </c>
      <c r="L92" s="132">
        <v>211.66</v>
      </c>
      <c r="M92" s="127">
        <v>110.69000000000001</v>
      </c>
      <c r="N92" s="132"/>
      <c r="O92" s="126">
        <v>130.28</v>
      </c>
      <c r="P92" s="132"/>
      <c r="Q92" s="126">
        <v>140.47999999999999</v>
      </c>
      <c r="R92" s="170">
        <v>179.3</v>
      </c>
      <c r="S92" s="135"/>
      <c r="T92" s="132"/>
      <c r="U92" s="135"/>
      <c r="V92" s="132"/>
      <c r="W92" s="135"/>
      <c r="X92" s="135"/>
      <c r="Y92" s="135"/>
      <c r="Z92" s="132">
        <v>132.9</v>
      </c>
      <c r="AA92" s="132">
        <v>132.81</v>
      </c>
      <c r="AB92" s="132">
        <v>107.4</v>
      </c>
      <c r="AC92" s="132"/>
      <c r="AD92" s="132"/>
      <c r="AE92" s="132"/>
      <c r="AF92" s="132"/>
      <c r="AG92" s="132">
        <v>94.87</v>
      </c>
      <c r="AH92" s="132"/>
      <c r="AI92" s="132"/>
      <c r="AJ92" s="132">
        <v>115.6</v>
      </c>
      <c r="AK92" s="132"/>
      <c r="AL92" s="133"/>
    </row>
    <row r="93" spans="1:38" x14ac:dyDescent="0.35">
      <c r="A93" s="154">
        <v>35048</v>
      </c>
      <c r="B93" s="132"/>
      <c r="C93" s="132"/>
      <c r="D93" s="132"/>
      <c r="E93" s="132"/>
      <c r="F93" s="132"/>
      <c r="G93" s="126"/>
      <c r="H93" s="127"/>
      <c r="I93" s="132"/>
      <c r="J93" s="127"/>
      <c r="K93" s="127"/>
      <c r="L93" s="132"/>
      <c r="M93" s="127">
        <v>110.9</v>
      </c>
      <c r="N93" s="132">
        <v>139.96</v>
      </c>
      <c r="O93" s="126">
        <v>129.71</v>
      </c>
      <c r="P93" s="132"/>
      <c r="Q93" s="126">
        <v>139.46999999999997</v>
      </c>
      <c r="R93" s="170">
        <v>179.3</v>
      </c>
      <c r="S93" s="135"/>
      <c r="T93" s="132"/>
      <c r="U93" s="135"/>
      <c r="V93" s="132"/>
      <c r="W93" s="135"/>
      <c r="X93" s="135"/>
      <c r="Y93" s="135"/>
      <c r="Z93" s="132">
        <v>132.80000000000001</v>
      </c>
      <c r="AA93" s="132">
        <v>132.71</v>
      </c>
      <c r="AB93" s="132">
        <v>107.6</v>
      </c>
      <c r="AC93" s="132"/>
      <c r="AD93" s="132"/>
      <c r="AE93" s="132"/>
      <c r="AF93" s="132"/>
      <c r="AG93" s="132">
        <v>94.93</v>
      </c>
      <c r="AH93" s="132"/>
      <c r="AI93" s="132"/>
      <c r="AJ93" s="132">
        <v>114.22999999999999</v>
      </c>
      <c r="AK93" s="132"/>
      <c r="AL93" s="133"/>
    </row>
    <row r="94" spans="1:38" x14ac:dyDescent="0.35">
      <c r="A94" s="154">
        <v>35079</v>
      </c>
      <c r="B94" s="132"/>
      <c r="C94" s="132"/>
      <c r="D94" s="132"/>
      <c r="E94" s="132"/>
      <c r="F94" s="132"/>
      <c r="G94" s="126"/>
      <c r="H94" s="127"/>
      <c r="I94" s="132"/>
      <c r="J94" s="127"/>
      <c r="K94" s="127"/>
      <c r="L94" s="132"/>
      <c r="M94" s="127"/>
      <c r="N94" s="132"/>
      <c r="O94" s="126"/>
      <c r="P94" s="132"/>
      <c r="Q94" s="126"/>
      <c r="R94" s="135"/>
      <c r="S94" s="135"/>
      <c r="T94" s="132"/>
      <c r="U94" s="135"/>
      <c r="V94" s="132"/>
      <c r="W94" s="135"/>
      <c r="X94" s="135"/>
      <c r="Y94" s="135"/>
      <c r="Z94" s="132">
        <v>132.69</v>
      </c>
      <c r="AA94" s="132">
        <v>132.61000000000001</v>
      </c>
      <c r="AB94" s="132">
        <v>107.57</v>
      </c>
      <c r="AC94" s="132"/>
      <c r="AD94" s="132"/>
      <c r="AE94" s="132"/>
      <c r="AF94" s="132"/>
      <c r="AG94" s="132">
        <v>94.94</v>
      </c>
      <c r="AH94" s="132"/>
      <c r="AI94" s="132"/>
      <c r="AJ94" s="132">
        <v>113.52000000000001</v>
      </c>
      <c r="AK94" s="132"/>
      <c r="AL94" s="133"/>
    </row>
    <row r="95" spans="1:38" x14ac:dyDescent="0.35">
      <c r="A95" s="154">
        <v>35110</v>
      </c>
      <c r="B95" s="132">
        <v>459.38</v>
      </c>
      <c r="C95" s="132">
        <v>437.66</v>
      </c>
      <c r="D95" s="132">
        <v>209.84</v>
      </c>
      <c r="E95" s="132">
        <v>218.29</v>
      </c>
      <c r="F95" s="132">
        <v>270.76</v>
      </c>
      <c r="G95" s="126">
        <v>161.30000000000001</v>
      </c>
      <c r="H95" s="127">
        <v>162.38</v>
      </c>
      <c r="I95" s="132">
        <v>213.3</v>
      </c>
      <c r="J95" s="127">
        <v>233.26000000000002</v>
      </c>
      <c r="K95" s="127">
        <v>246.16</v>
      </c>
      <c r="L95" s="132">
        <v>212.17000000000002</v>
      </c>
      <c r="M95" s="127">
        <v>108.71000000000001</v>
      </c>
      <c r="N95" s="132">
        <v>156.03</v>
      </c>
      <c r="O95" s="126">
        <v>129.08000000000001</v>
      </c>
      <c r="P95" s="132"/>
      <c r="Q95" s="126">
        <v>140.69</v>
      </c>
      <c r="R95" s="170">
        <v>179.3</v>
      </c>
      <c r="S95" s="135"/>
      <c r="T95" s="132"/>
      <c r="U95" s="135"/>
      <c r="V95" s="132"/>
      <c r="W95" s="135"/>
      <c r="X95" s="135"/>
      <c r="Y95" s="135"/>
      <c r="Z95" s="132">
        <v>132.6</v>
      </c>
      <c r="AA95" s="132">
        <v>132.51</v>
      </c>
      <c r="AB95" s="132">
        <v>107.52</v>
      </c>
      <c r="AC95" s="132"/>
      <c r="AD95" s="132"/>
      <c r="AE95" s="132"/>
      <c r="AF95" s="132"/>
      <c r="AG95" s="132">
        <v>94.990000000000009</v>
      </c>
      <c r="AH95" s="132"/>
      <c r="AI95" s="132"/>
      <c r="AJ95" s="132">
        <v>112.92</v>
      </c>
      <c r="AK95" s="132"/>
      <c r="AL95" s="133"/>
    </row>
    <row r="96" spans="1:38" x14ac:dyDescent="0.35">
      <c r="A96" s="154">
        <v>35139</v>
      </c>
      <c r="B96" s="132">
        <v>461.6</v>
      </c>
      <c r="C96" s="135">
        <v>436.99</v>
      </c>
      <c r="D96" s="135">
        <v>210.35999999999999</v>
      </c>
      <c r="E96" s="132">
        <v>218.54</v>
      </c>
      <c r="F96" s="132">
        <v>269.89</v>
      </c>
      <c r="G96" s="126">
        <v>165.45000000000002</v>
      </c>
      <c r="H96" s="127">
        <v>159.48000000000002</v>
      </c>
      <c r="I96" s="132">
        <v>212.01000000000002</v>
      </c>
      <c r="J96" s="127">
        <v>224.09</v>
      </c>
      <c r="K96" s="127">
        <v>241.92000000000002</v>
      </c>
      <c r="L96" s="132">
        <v>212.71</v>
      </c>
      <c r="M96" s="127">
        <v>111.4</v>
      </c>
      <c r="N96" s="135">
        <v>142.60000000000002</v>
      </c>
      <c r="O96" s="126">
        <v>129.57</v>
      </c>
      <c r="P96" s="135"/>
      <c r="Q96" s="128">
        <v>140.57999999999998</v>
      </c>
      <c r="R96" s="170">
        <v>179.3</v>
      </c>
      <c r="S96" s="135"/>
      <c r="T96" s="135"/>
      <c r="U96" s="135"/>
      <c r="V96" s="135"/>
      <c r="W96" s="135"/>
      <c r="X96" s="135"/>
      <c r="Y96" s="135"/>
      <c r="Z96" s="132">
        <v>133.87</v>
      </c>
      <c r="AA96" s="132">
        <v>132.80000000000001</v>
      </c>
      <c r="AB96" s="132">
        <v>107.4</v>
      </c>
      <c r="AC96" s="132"/>
      <c r="AD96" s="132"/>
      <c r="AE96" s="132"/>
      <c r="AF96" s="132"/>
      <c r="AG96" s="132">
        <v>95</v>
      </c>
      <c r="AH96" s="132"/>
      <c r="AI96" s="132"/>
      <c r="AJ96" s="132">
        <v>113.19</v>
      </c>
      <c r="AK96" s="132"/>
      <c r="AL96" s="133"/>
    </row>
    <row r="97" spans="1:38" x14ac:dyDescent="0.35">
      <c r="A97" s="154">
        <v>35171</v>
      </c>
      <c r="B97" s="132">
        <v>462</v>
      </c>
      <c r="C97" s="135">
        <v>437.08</v>
      </c>
      <c r="D97" s="135">
        <v>210.62</v>
      </c>
      <c r="E97" s="132">
        <v>218.72</v>
      </c>
      <c r="F97" s="132">
        <v>269.84000000000003</v>
      </c>
      <c r="G97" s="126">
        <v>160.16000000000003</v>
      </c>
      <c r="H97" s="127">
        <v>159.4</v>
      </c>
      <c r="I97" s="132">
        <v>200.5</v>
      </c>
      <c r="J97" s="127">
        <v>223.57</v>
      </c>
      <c r="K97" s="127">
        <v>242.04</v>
      </c>
      <c r="L97" s="132">
        <v>212.18</v>
      </c>
      <c r="M97" s="127">
        <v>110.83000000000001</v>
      </c>
      <c r="N97" s="135">
        <v>142.55000000000001</v>
      </c>
      <c r="O97" s="126">
        <v>129.31</v>
      </c>
      <c r="P97" s="135"/>
      <c r="Q97" s="128">
        <v>140.62</v>
      </c>
      <c r="R97" s="170">
        <v>179.3</v>
      </c>
      <c r="S97" s="135"/>
      <c r="T97" s="135"/>
      <c r="U97" s="135"/>
      <c r="V97" s="135"/>
      <c r="W97" s="135"/>
      <c r="X97" s="135"/>
      <c r="Y97" s="135"/>
      <c r="Z97" s="132">
        <v>132.88999999999999</v>
      </c>
      <c r="AA97" s="132">
        <v>132.82999999999998</v>
      </c>
      <c r="AB97" s="132">
        <v>107.34</v>
      </c>
      <c r="AC97" s="132"/>
      <c r="AD97" s="132"/>
      <c r="AE97" s="132"/>
      <c r="AF97" s="132"/>
      <c r="AG97" s="132">
        <v>95.03</v>
      </c>
      <c r="AH97" s="132"/>
      <c r="AI97" s="132"/>
      <c r="AJ97" s="132">
        <v>113.47999999999999</v>
      </c>
      <c r="AK97" s="132"/>
      <c r="AL97" s="133"/>
    </row>
    <row r="98" spans="1:38" x14ac:dyDescent="0.35">
      <c r="A98" s="154">
        <v>35202</v>
      </c>
      <c r="B98" s="132">
        <v>459.3</v>
      </c>
      <c r="C98" s="135">
        <v>437.33</v>
      </c>
      <c r="D98" s="135">
        <v>210.17</v>
      </c>
      <c r="E98" s="132">
        <v>217.89999999999998</v>
      </c>
      <c r="F98" s="132">
        <v>269.44</v>
      </c>
      <c r="G98" s="126">
        <v>159.58000000000001</v>
      </c>
      <c r="H98" s="127">
        <v>157.82</v>
      </c>
      <c r="I98" s="132">
        <v>200.5</v>
      </c>
      <c r="J98" s="127">
        <v>223.45000000000002</v>
      </c>
      <c r="K98" s="127">
        <v>243.91</v>
      </c>
      <c r="L98" s="132">
        <v>211.72</v>
      </c>
      <c r="M98" s="127">
        <v>110.24000000000001</v>
      </c>
      <c r="N98" s="135"/>
      <c r="O98" s="126">
        <v>129.09</v>
      </c>
      <c r="P98" s="135"/>
      <c r="Q98" s="128">
        <v>140.64999999999998</v>
      </c>
      <c r="R98" s="170">
        <v>179.3</v>
      </c>
      <c r="S98" s="135"/>
      <c r="T98" s="135"/>
      <c r="U98" s="135"/>
      <c r="V98" s="135"/>
      <c r="W98" s="135"/>
      <c r="X98" s="135"/>
      <c r="Y98" s="135"/>
      <c r="Z98" s="132">
        <v>132.52000000000001</v>
      </c>
      <c r="AA98" s="132">
        <v>132.46</v>
      </c>
      <c r="AB98" s="132">
        <v>107.23</v>
      </c>
      <c r="AC98" s="132"/>
      <c r="AD98" s="132"/>
      <c r="AE98" s="132"/>
      <c r="AF98" s="132"/>
      <c r="AG98" s="132">
        <v>95.1</v>
      </c>
      <c r="AH98" s="132"/>
      <c r="AI98" s="132"/>
      <c r="AJ98" s="132">
        <v>113.43</v>
      </c>
      <c r="AK98" s="132"/>
      <c r="AL98" s="133"/>
    </row>
    <row r="99" spans="1:38" x14ac:dyDescent="0.35">
      <c r="A99" s="154">
        <v>35231</v>
      </c>
      <c r="B99" s="132">
        <v>460.07</v>
      </c>
      <c r="C99" s="135">
        <v>437.12</v>
      </c>
      <c r="D99" s="135">
        <v>209.70999999999998</v>
      </c>
      <c r="E99" s="132">
        <v>217.01999999999998</v>
      </c>
      <c r="F99" s="132">
        <v>268.61</v>
      </c>
      <c r="G99" s="126">
        <v>157.08000000000001</v>
      </c>
      <c r="H99" s="127">
        <v>156.77000000000001</v>
      </c>
      <c r="I99" s="132">
        <v>200.5</v>
      </c>
      <c r="J99" s="127">
        <v>223.16</v>
      </c>
      <c r="K99" s="127">
        <v>238.19</v>
      </c>
      <c r="L99" s="132">
        <v>211.5</v>
      </c>
      <c r="M99" s="127">
        <v>109.95000000000002</v>
      </c>
      <c r="N99" s="135">
        <v>143.34</v>
      </c>
      <c r="O99" s="126">
        <v>131.36000000000001</v>
      </c>
      <c r="P99" s="135"/>
      <c r="Q99" s="128">
        <v>139.96999999999997</v>
      </c>
      <c r="R99" s="170">
        <v>179.3</v>
      </c>
      <c r="S99" s="135"/>
      <c r="T99" s="135"/>
      <c r="U99" s="135"/>
      <c r="V99" s="135"/>
      <c r="W99" s="135"/>
      <c r="X99" s="135"/>
      <c r="Y99" s="135"/>
      <c r="Z99" s="132">
        <v>132.42000000000002</v>
      </c>
      <c r="AA99" s="132">
        <v>132.36000000000001</v>
      </c>
      <c r="AB99" s="132">
        <v>107.16</v>
      </c>
      <c r="AC99" s="132"/>
      <c r="AD99" s="132"/>
      <c r="AE99" s="132"/>
      <c r="AF99" s="132"/>
      <c r="AG99" s="132">
        <v>95.08</v>
      </c>
      <c r="AH99" s="132"/>
      <c r="AI99" s="132"/>
      <c r="AJ99" s="132">
        <v>113.19</v>
      </c>
      <c r="AK99" s="132"/>
      <c r="AL99" s="133"/>
    </row>
    <row r="100" spans="1:38" x14ac:dyDescent="0.35">
      <c r="A100" s="154">
        <v>35262</v>
      </c>
      <c r="B100" s="132">
        <v>460</v>
      </c>
      <c r="C100" s="135">
        <v>437.16</v>
      </c>
      <c r="D100" s="135">
        <v>209.62</v>
      </c>
      <c r="E100" s="132">
        <v>217.62</v>
      </c>
      <c r="F100" s="132">
        <v>268.64</v>
      </c>
      <c r="G100" s="126">
        <v>157.02000000000001</v>
      </c>
      <c r="H100" s="127">
        <v>156.78</v>
      </c>
      <c r="I100" s="132">
        <v>200.5</v>
      </c>
      <c r="J100" s="127">
        <v>222.95000000000002</v>
      </c>
      <c r="K100" s="127">
        <v>237.86</v>
      </c>
      <c r="L100" s="132">
        <v>211.36</v>
      </c>
      <c r="M100" s="127">
        <v>109.65</v>
      </c>
      <c r="N100" s="135">
        <v>143.37</v>
      </c>
      <c r="O100" s="126">
        <v>131.33000000000001</v>
      </c>
      <c r="P100" s="135"/>
      <c r="Q100" s="128">
        <v>139.94</v>
      </c>
      <c r="R100" s="170">
        <v>179.3</v>
      </c>
      <c r="S100" s="135"/>
      <c r="T100" s="135"/>
      <c r="U100" s="135"/>
      <c r="V100" s="135"/>
      <c r="W100" s="135"/>
      <c r="X100" s="135"/>
      <c r="Y100" s="135"/>
      <c r="Z100" s="132">
        <v>132.37</v>
      </c>
      <c r="AA100" s="132">
        <v>132.30000000000001</v>
      </c>
      <c r="AB100" s="132">
        <v>107.13</v>
      </c>
      <c r="AC100" s="132"/>
      <c r="AD100" s="132"/>
      <c r="AE100" s="132"/>
      <c r="AF100" s="132"/>
      <c r="AG100" s="132">
        <v>94.97999999999999</v>
      </c>
      <c r="AH100" s="132"/>
      <c r="AI100" s="132"/>
      <c r="AJ100" s="132">
        <v>112.95</v>
      </c>
      <c r="AK100" s="132"/>
      <c r="AL100" s="133"/>
    </row>
    <row r="101" spans="1:38" x14ac:dyDescent="0.35">
      <c r="A101" s="154">
        <v>35292</v>
      </c>
      <c r="B101" s="132">
        <v>460</v>
      </c>
      <c r="C101" s="135">
        <v>437.56</v>
      </c>
      <c r="D101" s="135">
        <v>210.22</v>
      </c>
      <c r="E101" s="132">
        <v>218.28</v>
      </c>
      <c r="F101" s="132">
        <v>270.68</v>
      </c>
      <c r="G101" s="126">
        <v>155.45000000000002</v>
      </c>
      <c r="H101" s="127">
        <v>155.81</v>
      </c>
      <c r="I101" s="132">
        <v>200.5</v>
      </c>
      <c r="J101" s="127">
        <v>220.81</v>
      </c>
      <c r="K101" s="127">
        <v>235.7</v>
      </c>
      <c r="L101" s="132">
        <v>211.17000000000002</v>
      </c>
      <c r="M101" s="127">
        <v>108.76000000000002</v>
      </c>
      <c r="N101" s="135"/>
      <c r="O101" s="126">
        <v>129.48000000000002</v>
      </c>
      <c r="P101" s="135"/>
      <c r="Q101" s="128">
        <v>138.13999999999999</v>
      </c>
      <c r="R101" s="170">
        <v>179.3</v>
      </c>
      <c r="S101" s="135"/>
      <c r="T101" s="135"/>
      <c r="U101" s="135"/>
      <c r="V101" s="135"/>
      <c r="W101" s="135"/>
      <c r="X101" s="135"/>
      <c r="Y101" s="135"/>
      <c r="Z101" s="132">
        <v>132.32999999999998</v>
      </c>
      <c r="AA101" s="132">
        <v>132.26</v>
      </c>
      <c r="AB101" s="132">
        <v>107.03999999999999</v>
      </c>
      <c r="AC101" s="132"/>
      <c r="AD101" s="132"/>
      <c r="AE101" s="132"/>
      <c r="AF101" s="132"/>
      <c r="AG101" s="132">
        <v>94.89</v>
      </c>
      <c r="AH101" s="132"/>
      <c r="AI101" s="132"/>
      <c r="AJ101" s="132">
        <v>112.52000000000001</v>
      </c>
      <c r="AK101" s="132"/>
      <c r="AL101" s="133"/>
    </row>
    <row r="102" spans="1:38" x14ac:dyDescent="0.35">
      <c r="A102" s="154">
        <v>35325</v>
      </c>
      <c r="B102" s="132">
        <v>459.8</v>
      </c>
      <c r="C102" s="135">
        <v>437.5</v>
      </c>
      <c r="D102" s="135">
        <v>210.04</v>
      </c>
      <c r="E102" s="132">
        <v>217.70999999999998</v>
      </c>
      <c r="F102" s="132">
        <v>267.15000000000003</v>
      </c>
      <c r="G102" s="126">
        <v>155.11000000000001</v>
      </c>
      <c r="H102" s="127">
        <v>155.42000000000002</v>
      </c>
      <c r="I102" s="132">
        <v>200.5</v>
      </c>
      <c r="J102" s="127">
        <v>222.81</v>
      </c>
      <c r="K102" s="127">
        <v>235.55</v>
      </c>
      <c r="L102" s="132">
        <v>211.11</v>
      </c>
      <c r="M102" s="127">
        <v>108.59</v>
      </c>
      <c r="N102" s="135"/>
      <c r="O102" s="126">
        <v>128.80000000000001</v>
      </c>
      <c r="P102" s="135"/>
      <c r="Q102" s="128">
        <v>137.07999999999998</v>
      </c>
      <c r="R102" s="170">
        <v>179.3</v>
      </c>
      <c r="S102" s="135"/>
      <c r="T102" s="135"/>
      <c r="U102" s="135"/>
      <c r="V102" s="135"/>
      <c r="W102" s="135"/>
      <c r="X102" s="135"/>
      <c r="Y102" s="135"/>
      <c r="Z102" s="132">
        <v>132.28</v>
      </c>
      <c r="AA102" s="132">
        <v>132.22</v>
      </c>
      <c r="AB102" s="132">
        <v>106.95</v>
      </c>
      <c r="AC102" s="132"/>
      <c r="AD102" s="132"/>
      <c r="AE102" s="132"/>
      <c r="AF102" s="132"/>
      <c r="AG102" s="132">
        <v>94.83</v>
      </c>
      <c r="AH102" s="132"/>
      <c r="AI102" s="132"/>
      <c r="AJ102" s="132">
        <v>112</v>
      </c>
      <c r="AK102" s="132"/>
      <c r="AL102" s="133"/>
    </row>
    <row r="103" spans="1:38" x14ac:dyDescent="0.35">
      <c r="A103" s="154">
        <v>35339</v>
      </c>
      <c r="B103" s="132">
        <v>459.2</v>
      </c>
      <c r="C103" s="135">
        <v>437.2</v>
      </c>
      <c r="D103" s="135">
        <v>209.82</v>
      </c>
      <c r="E103" s="132">
        <v>217.78</v>
      </c>
      <c r="F103" s="132">
        <v>266.94</v>
      </c>
      <c r="G103" s="126">
        <v>155.10000000000002</v>
      </c>
      <c r="H103" s="127">
        <v>156</v>
      </c>
      <c r="I103" s="132">
        <v>200.5</v>
      </c>
      <c r="J103" s="127">
        <v>223.29000000000002</v>
      </c>
      <c r="K103" s="127">
        <v>235.44</v>
      </c>
      <c r="L103" s="132">
        <v>211.26000000000002</v>
      </c>
      <c r="M103" s="127">
        <v>108.55000000000001</v>
      </c>
      <c r="N103" s="135"/>
      <c r="O103" s="126">
        <v>128.97</v>
      </c>
      <c r="P103" s="135"/>
      <c r="Q103" s="128">
        <v>137.01999999999998</v>
      </c>
      <c r="R103" s="170">
        <v>179.3</v>
      </c>
      <c r="S103" s="135"/>
      <c r="T103" s="135"/>
      <c r="U103" s="135"/>
      <c r="V103" s="135"/>
      <c r="W103" s="135"/>
      <c r="X103" s="135"/>
      <c r="Y103" s="135"/>
      <c r="Z103" s="132">
        <v>132.25</v>
      </c>
      <c r="AA103" s="132">
        <v>132.18</v>
      </c>
      <c r="AB103" s="132">
        <v>106.97</v>
      </c>
      <c r="AC103" s="132"/>
      <c r="AD103" s="132"/>
      <c r="AE103" s="132"/>
      <c r="AF103" s="132"/>
      <c r="AG103" s="132">
        <v>94.740000000000009</v>
      </c>
      <c r="AH103" s="132"/>
      <c r="AI103" s="132"/>
      <c r="AJ103" s="132">
        <v>111.47</v>
      </c>
      <c r="AK103" s="132"/>
      <c r="AL103" s="134"/>
    </row>
    <row r="104" spans="1:38" x14ac:dyDescent="0.35">
      <c r="A104" s="154">
        <v>35370</v>
      </c>
      <c r="B104" s="132">
        <v>460.01</v>
      </c>
      <c r="C104" s="135">
        <v>437.27</v>
      </c>
      <c r="D104" s="135">
        <v>209.14999999999998</v>
      </c>
      <c r="E104" s="132">
        <v>217.23</v>
      </c>
      <c r="F104" s="132">
        <v>267.88</v>
      </c>
      <c r="G104" s="126">
        <v>156.02000000000001</v>
      </c>
      <c r="H104" s="127">
        <v>155.62</v>
      </c>
      <c r="I104" s="132">
        <v>202.55</v>
      </c>
      <c r="J104" s="127">
        <v>222.59</v>
      </c>
      <c r="K104" s="127">
        <v>234.51</v>
      </c>
      <c r="L104" s="132">
        <v>210.99</v>
      </c>
      <c r="M104" s="127">
        <v>108.63000000000001</v>
      </c>
      <c r="N104" s="135"/>
      <c r="O104" s="126">
        <v>128.09</v>
      </c>
      <c r="P104" s="135"/>
      <c r="Q104" s="128">
        <v>135.38999999999999</v>
      </c>
      <c r="R104" s="170">
        <v>179.3</v>
      </c>
      <c r="S104" s="135"/>
      <c r="T104" s="135"/>
      <c r="U104" s="135"/>
      <c r="V104" s="135"/>
      <c r="W104" s="135"/>
      <c r="X104" s="135"/>
      <c r="Y104" s="135"/>
      <c r="Z104" s="132">
        <v>132.22</v>
      </c>
      <c r="AA104" s="132">
        <v>132.15</v>
      </c>
      <c r="AB104" s="132">
        <v>106.87</v>
      </c>
      <c r="AC104" s="132"/>
      <c r="AD104" s="132"/>
      <c r="AE104" s="132"/>
      <c r="AF104" s="132"/>
      <c r="AG104" s="132">
        <v>94.69</v>
      </c>
      <c r="AH104" s="132"/>
      <c r="AI104" s="132"/>
      <c r="AJ104" s="132">
        <v>110.93</v>
      </c>
      <c r="AK104" s="132"/>
      <c r="AL104" s="134"/>
    </row>
    <row r="105" spans="1:38" x14ac:dyDescent="0.35">
      <c r="A105" s="154">
        <v>35400</v>
      </c>
      <c r="B105" s="132">
        <v>459.98</v>
      </c>
      <c r="C105" s="135">
        <v>437.7</v>
      </c>
      <c r="D105" s="135">
        <v>209.62</v>
      </c>
      <c r="E105" s="132">
        <v>218.16</v>
      </c>
      <c r="F105" s="132">
        <v>265.48</v>
      </c>
      <c r="G105" s="126">
        <v>164.70000000000002</v>
      </c>
      <c r="H105" s="127">
        <v>157.31</v>
      </c>
      <c r="I105" s="132">
        <v>213.3</v>
      </c>
      <c r="J105" s="127">
        <v>223.05</v>
      </c>
      <c r="K105" s="127">
        <v>242.84</v>
      </c>
      <c r="L105" s="132">
        <v>212.18</v>
      </c>
      <c r="M105" s="127">
        <v>108.63000000000001</v>
      </c>
      <c r="N105" s="135">
        <v>148.36000000000001</v>
      </c>
      <c r="O105" s="126">
        <v>127.10000000000001</v>
      </c>
      <c r="P105" s="135"/>
      <c r="Q105" s="128">
        <v>138.32</v>
      </c>
      <c r="R105" s="170">
        <v>179.3</v>
      </c>
      <c r="S105" s="135"/>
      <c r="T105" s="135"/>
      <c r="U105" s="135"/>
      <c r="V105" s="135"/>
      <c r="W105" s="135"/>
      <c r="X105" s="135"/>
      <c r="Y105" s="135"/>
      <c r="Z105" s="132">
        <v>133.28</v>
      </c>
      <c r="AA105" s="132">
        <v>133.22999999999999</v>
      </c>
      <c r="AB105" s="132">
        <v>106.91</v>
      </c>
      <c r="AC105" s="132"/>
      <c r="AD105" s="132"/>
      <c r="AE105" s="132"/>
      <c r="AF105" s="132"/>
      <c r="AG105" s="132">
        <v>94.69</v>
      </c>
      <c r="AH105" s="132"/>
      <c r="AI105" s="132"/>
      <c r="AJ105" s="132">
        <v>110.52000000000001</v>
      </c>
      <c r="AK105" s="132"/>
      <c r="AL105" s="134"/>
    </row>
    <row r="106" spans="1:38" x14ac:dyDescent="0.35">
      <c r="A106" s="154">
        <v>35431</v>
      </c>
      <c r="B106" s="132">
        <v>459.7</v>
      </c>
      <c r="C106" s="135">
        <v>438.16</v>
      </c>
      <c r="D106" s="135">
        <v>209.95</v>
      </c>
      <c r="E106" s="132">
        <v>218.66</v>
      </c>
      <c r="F106" s="132">
        <v>267.76</v>
      </c>
      <c r="G106" s="126">
        <v>164.58</v>
      </c>
      <c r="H106" s="127">
        <v>157.18</v>
      </c>
      <c r="I106" s="132">
        <v>213.3</v>
      </c>
      <c r="J106" s="127">
        <v>223.92000000000002</v>
      </c>
      <c r="K106" s="127">
        <v>244</v>
      </c>
      <c r="L106" s="132">
        <v>213.16</v>
      </c>
      <c r="M106" s="127">
        <v>109.16000000000001</v>
      </c>
      <c r="N106" s="135">
        <v>153.46</v>
      </c>
      <c r="O106" s="126">
        <v>127.16000000000001</v>
      </c>
      <c r="P106" s="135"/>
      <c r="Q106" s="128">
        <v>138.95999999999998</v>
      </c>
      <c r="R106" s="170">
        <v>179.3</v>
      </c>
      <c r="S106" s="135"/>
      <c r="T106" s="135"/>
      <c r="U106" s="135"/>
      <c r="V106" s="135"/>
      <c r="W106" s="135"/>
      <c r="X106" s="135"/>
      <c r="Y106" s="135"/>
      <c r="Z106" s="132">
        <v>137.01</v>
      </c>
      <c r="AA106" s="132">
        <v>136.96</v>
      </c>
      <c r="AB106" s="132">
        <v>106.66</v>
      </c>
      <c r="AC106" s="132"/>
      <c r="AD106" s="132"/>
      <c r="AE106" s="132"/>
      <c r="AF106" s="132"/>
      <c r="AG106" s="132">
        <v>94.67</v>
      </c>
      <c r="AH106" s="132"/>
      <c r="AI106" s="132"/>
      <c r="AJ106" s="132">
        <v>110.62</v>
      </c>
      <c r="AK106" s="132"/>
      <c r="AL106" s="134"/>
    </row>
    <row r="107" spans="1:38" x14ac:dyDescent="0.35">
      <c r="A107" s="154">
        <v>35462</v>
      </c>
      <c r="B107" s="132">
        <v>459.8</v>
      </c>
      <c r="C107" s="135">
        <v>437.72</v>
      </c>
      <c r="D107" s="135">
        <v>208.63</v>
      </c>
      <c r="E107" s="132">
        <v>217.82</v>
      </c>
      <c r="F107" s="132">
        <v>266.98</v>
      </c>
      <c r="G107" s="126">
        <v>166.13</v>
      </c>
      <c r="H107" s="127">
        <v>160.75</v>
      </c>
      <c r="I107" s="132">
        <v>207.03</v>
      </c>
      <c r="J107" s="127">
        <v>226.05</v>
      </c>
      <c r="K107" s="127">
        <v>241.92000000000002</v>
      </c>
      <c r="L107" s="132">
        <v>213.62</v>
      </c>
      <c r="M107" s="127">
        <v>112.86000000000001</v>
      </c>
      <c r="N107" s="135">
        <v>139.51000000000002</v>
      </c>
      <c r="O107" s="126">
        <v>127.77000000000001</v>
      </c>
      <c r="P107" s="135"/>
      <c r="Q107" s="128">
        <v>139.04</v>
      </c>
      <c r="R107" s="170">
        <v>179.3</v>
      </c>
      <c r="S107" s="135"/>
      <c r="T107" s="135"/>
      <c r="U107" s="135"/>
      <c r="V107" s="135"/>
      <c r="W107" s="135"/>
      <c r="X107" s="135"/>
      <c r="Y107" s="135"/>
      <c r="Z107" s="132">
        <v>136.28</v>
      </c>
      <c r="AA107" s="132">
        <v>136.22</v>
      </c>
      <c r="AB107" s="132">
        <v>106.68</v>
      </c>
      <c r="AC107" s="132"/>
      <c r="AD107" s="132"/>
      <c r="AE107" s="132"/>
      <c r="AF107" s="132"/>
      <c r="AG107" s="132">
        <v>95.460000000000008</v>
      </c>
      <c r="AH107" s="132"/>
      <c r="AI107" s="132"/>
      <c r="AJ107" s="132">
        <v>111.64</v>
      </c>
      <c r="AK107" s="132"/>
      <c r="AL107" s="134"/>
    </row>
    <row r="108" spans="1:38" x14ac:dyDescent="0.35">
      <c r="A108" s="154">
        <v>35490</v>
      </c>
      <c r="B108" s="132">
        <v>460.04</v>
      </c>
      <c r="C108" s="135">
        <v>438.18</v>
      </c>
      <c r="D108" s="135">
        <v>210.69</v>
      </c>
      <c r="E108" s="132">
        <v>218.92</v>
      </c>
      <c r="F108" s="132">
        <v>268.24</v>
      </c>
      <c r="G108" s="126">
        <v>160.52000000000001</v>
      </c>
      <c r="H108" s="127">
        <v>158.76000000000002</v>
      </c>
      <c r="I108" s="132">
        <v>200.5</v>
      </c>
      <c r="J108" s="127">
        <v>224.79000000000002</v>
      </c>
      <c r="K108" s="127">
        <v>238.54</v>
      </c>
      <c r="L108" s="132">
        <v>213.07</v>
      </c>
      <c r="M108" s="127">
        <v>112.75000000000001</v>
      </c>
      <c r="N108" s="135"/>
      <c r="O108" s="126">
        <v>130.45000000000002</v>
      </c>
      <c r="P108" s="135"/>
      <c r="Q108" s="128">
        <v>146.02999999999997</v>
      </c>
      <c r="R108" s="170">
        <v>179.3</v>
      </c>
      <c r="S108" s="135"/>
      <c r="T108" s="135"/>
      <c r="U108" s="135"/>
      <c r="V108" s="135"/>
      <c r="W108" s="135"/>
      <c r="X108" s="135"/>
      <c r="Y108" s="135"/>
      <c r="Z108" s="132">
        <v>134.19999999999999</v>
      </c>
      <c r="AA108" s="132">
        <v>134.13999999999999</v>
      </c>
      <c r="AB108" s="132">
        <v>106.2</v>
      </c>
      <c r="AC108" s="132"/>
      <c r="AD108" s="132"/>
      <c r="AE108" s="132"/>
      <c r="AF108" s="132"/>
      <c r="AG108" s="132">
        <v>95.47</v>
      </c>
      <c r="AH108" s="132"/>
      <c r="AI108" s="132"/>
      <c r="AJ108" s="132">
        <v>113.22</v>
      </c>
      <c r="AK108" s="132"/>
      <c r="AL108" s="134"/>
    </row>
    <row r="109" spans="1:38" x14ac:dyDescent="0.35">
      <c r="A109" s="154">
        <v>35521</v>
      </c>
      <c r="B109" s="132">
        <v>459.4</v>
      </c>
      <c r="C109" s="135">
        <v>438.74799999999999</v>
      </c>
      <c r="D109" s="135">
        <v>210.75</v>
      </c>
      <c r="E109" s="132">
        <v>218.76</v>
      </c>
      <c r="F109" s="132">
        <v>268.90000000000003</v>
      </c>
      <c r="G109" s="126">
        <v>157.89000000000001</v>
      </c>
      <c r="H109" s="127">
        <v>157.05000000000001</v>
      </c>
      <c r="I109" s="132">
        <v>200.5</v>
      </c>
      <c r="J109" s="127">
        <v>223.97</v>
      </c>
      <c r="K109" s="127">
        <v>237.32</v>
      </c>
      <c r="L109" s="132">
        <v>211.86</v>
      </c>
      <c r="M109" s="127">
        <v>113.13000000000001</v>
      </c>
      <c r="N109" s="135"/>
      <c r="O109" s="126">
        <v>130.87</v>
      </c>
      <c r="P109" s="135"/>
      <c r="Q109" s="128">
        <v>146.41999999999999</v>
      </c>
      <c r="R109" s="170">
        <v>179.3</v>
      </c>
      <c r="S109" s="135"/>
      <c r="T109" s="135"/>
      <c r="U109" s="135"/>
      <c r="V109" s="135"/>
      <c r="W109" s="135"/>
      <c r="X109" s="135"/>
      <c r="Y109" s="135"/>
      <c r="Z109" s="132">
        <v>133.25</v>
      </c>
      <c r="AA109" s="132">
        <v>133.19</v>
      </c>
      <c r="AB109" s="132">
        <v>107.03</v>
      </c>
      <c r="AC109" s="132"/>
      <c r="AD109" s="132"/>
      <c r="AE109" s="132"/>
      <c r="AF109" s="132"/>
      <c r="AG109" s="132">
        <v>95.39</v>
      </c>
      <c r="AH109" s="132"/>
      <c r="AI109" s="132"/>
      <c r="AJ109" s="132">
        <v>114.28999999999999</v>
      </c>
      <c r="AK109" s="132"/>
      <c r="AL109" s="134"/>
    </row>
    <row r="110" spans="1:38" x14ac:dyDescent="0.35">
      <c r="A110" s="154">
        <v>35551</v>
      </c>
      <c r="B110" s="132">
        <v>460.06</v>
      </c>
      <c r="C110" s="135">
        <v>437.39</v>
      </c>
      <c r="D110" s="135">
        <v>210.34</v>
      </c>
      <c r="E110" s="132">
        <v>218.53</v>
      </c>
      <c r="F110" s="132">
        <v>267.52000000000004</v>
      </c>
      <c r="G110" s="126">
        <v>156.89000000000001</v>
      </c>
      <c r="H110" s="127">
        <v>156.68</v>
      </c>
      <c r="I110" s="132">
        <v>200.5</v>
      </c>
      <c r="J110" s="127">
        <v>223.52</v>
      </c>
      <c r="K110" s="127">
        <v>236.43</v>
      </c>
      <c r="L110" s="132">
        <v>212.03</v>
      </c>
      <c r="M110" s="127">
        <v>111.21000000000001</v>
      </c>
      <c r="N110" s="135"/>
      <c r="O110" s="126">
        <v>126.02000000000001</v>
      </c>
      <c r="P110" s="135"/>
      <c r="Q110" s="128">
        <v>143.66999999999999</v>
      </c>
      <c r="R110" s="170">
        <v>179.3</v>
      </c>
      <c r="S110" s="135"/>
      <c r="T110" s="135"/>
      <c r="U110" s="135"/>
      <c r="V110" s="135"/>
      <c r="W110" s="135"/>
      <c r="X110" s="135"/>
      <c r="Y110" s="135"/>
      <c r="Z110" s="132">
        <v>133.04</v>
      </c>
      <c r="AA110" s="132">
        <v>132.97999999999999</v>
      </c>
      <c r="AB110" s="132">
        <v>107.24</v>
      </c>
      <c r="AC110" s="132"/>
      <c r="AD110" s="132"/>
      <c r="AE110" s="132"/>
      <c r="AF110" s="132"/>
      <c r="AG110" s="132">
        <v>95.34</v>
      </c>
      <c r="AH110" s="132"/>
      <c r="AI110" s="132"/>
      <c r="AJ110" s="132">
        <v>114.6</v>
      </c>
      <c r="AK110" s="132"/>
      <c r="AL110" s="134"/>
    </row>
    <row r="111" spans="1:38" x14ac:dyDescent="0.35">
      <c r="A111" s="154">
        <v>35582</v>
      </c>
      <c r="B111" s="132">
        <v>459.6</v>
      </c>
      <c r="C111" s="135">
        <v>437.4</v>
      </c>
      <c r="D111" s="135">
        <v>210.12</v>
      </c>
      <c r="E111" s="132">
        <v>218</v>
      </c>
      <c r="F111" s="132">
        <v>267.54000000000002</v>
      </c>
      <c r="G111" s="126">
        <v>155.9</v>
      </c>
      <c r="H111" s="127">
        <v>156.21</v>
      </c>
      <c r="I111" s="132">
        <v>200.5</v>
      </c>
      <c r="J111" s="127">
        <v>223.3</v>
      </c>
      <c r="K111" s="127">
        <v>235.48000000000002</v>
      </c>
      <c r="L111" s="132">
        <v>211.66</v>
      </c>
      <c r="M111" s="127">
        <v>110.45000000000002</v>
      </c>
      <c r="N111" s="135"/>
      <c r="O111" s="126">
        <v>130.69</v>
      </c>
      <c r="P111" s="135"/>
      <c r="Q111" s="128">
        <v>142.32999999999998</v>
      </c>
      <c r="R111" s="170">
        <v>179.3</v>
      </c>
      <c r="S111" s="135"/>
      <c r="T111" s="135"/>
      <c r="U111" s="135"/>
      <c r="V111" s="135"/>
      <c r="W111" s="135"/>
      <c r="X111" s="135"/>
      <c r="Y111" s="135"/>
      <c r="Z111" s="132">
        <v>133.02000000000001</v>
      </c>
      <c r="AA111" s="132">
        <v>132.96</v>
      </c>
      <c r="AB111" s="132">
        <v>107.46000000000001</v>
      </c>
      <c r="AC111" s="132"/>
      <c r="AD111" s="132"/>
      <c r="AE111" s="132"/>
      <c r="AF111" s="132"/>
      <c r="AG111" s="132">
        <v>95.3</v>
      </c>
      <c r="AH111" s="132"/>
      <c r="AI111" s="132"/>
      <c r="AJ111" s="132">
        <v>114.47</v>
      </c>
      <c r="AK111" s="132"/>
      <c r="AL111" s="134"/>
    </row>
    <row r="112" spans="1:38" x14ac:dyDescent="0.35">
      <c r="A112" s="154">
        <v>35612</v>
      </c>
      <c r="B112" s="132">
        <v>460</v>
      </c>
      <c r="C112" s="135">
        <v>437.3</v>
      </c>
      <c r="D112" s="135">
        <v>209.68</v>
      </c>
      <c r="E112" s="132">
        <v>218.92</v>
      </c>
      <c r="F112" s="132">
        <v>265.12</v>
      </c>
      <c r="G112" s="126">
        <v>155.61000000000001</v>
      </c>
      <c r="H112" s="127">
        <v>155.82</v>
      </c>
      <c r="I112" s="132">
        <v>200.5</v>
      </c>
      <c r="J112" s="127">
        <v>223.02</v>
      </c>
      <c r="K112" s="127">
        <v>234.55</v>
      </c>
      <c r="L112" s="132">
        <v>211.06</v>
      </c>
      <c r="M112" s="127">
        <v>109.75000000000001</v>
      </c>
      <c r="N112" s="135"/>
      <c r="O112" s="126">
        <v>130.18</v>
      </c>
      <c r="P112" s="135"/>
      <c r="Q112" s="128">
        <v>140.85999999999999</v>
      </c>
      <c r="R112" s="170">
        <v>179.3</v>
      </c>
      <c r="S112" s="135"/>
      <c r="T112" s="135"/>
      <c r="U112" s="135"/>
      <c r="V112" s="135"/>
      <c r="W112" s="135"/>
      <c r="X112" s="135"/>
      <c r="Y112" s="135"/>
      <c r="Z112" s="132">
        <v>132.96</v>
      </c>
      <c r="AA112" s="132">
        <v>132.9</v>
      </c>
      <c r="AB112" s="132">
        <v>107.58</v>
      </c>
      <c r="AC112" s="132"/>
      <c r="AD112" s="132"/>
      <c r="AE112" s="132"/>
      <c r="AF112" s="132"/>
      <c r="AG112" s="132">
        <v>95.240000000000009</v>
      </c>
      <c r="AH112" s="132"/>
      <c r="AI112" s="132"/>
      <c r="AJ112" s="132">
        <v>114.11</v>
      </c>
      <c r="AK112" s="132"/>
      <c r="AL112" s="134"/>
    </row>
    <row r="113" spans="1:38" x14ac:dyDescent="0.35">
      <c r="A113" s="154">
        <v>35643</v>
      </c>
      <c r="B113" s="132">
        <v>459.84000000000003</v>
      </c>
      <c r="C113" s="135">
        <v>437.6</v>
      </c>
      <c r="D113" s="135">
        <v>209.64</v>
      </c>
      <c r="E113" s="132">
        <v>219.82</v>
      </c>
      <c r="F113" s="132">
        <v>265.14</v>
      </c>
      <c r="G113" s="126">
        <v>155.59</v>
      </c>
      <c r="H113" s="127">
        <v>155.62</v>
      </c>
      <c r="I113" s="132">
        <v>200.5</v>
      </c>
      <c r="J113" s="127">
        <v>223.07</v>
      </c>
      <c r="K113" s="127">
        <v>234.54</v>
      </c>
      <c r="L113" s="132">
        <v>211.26000000000002</v>
      </c>
      <c r="M113" s="127">
        <v>109.75000000000001</v>
      </c>
      <c r="N113" s="135"/>
      <c r="O113" s="126">
        <v>130.07</v>
      </c>
      <c r="P113" s="135"/>
      <c r="Q113" s="128">
        <v>140.82</v>
      </c>
      <c r="R113" s="170">
        <v>179.3</v>
      </c>
      <c r="S113" s="135"/>
      <c r="T113" s="135"/>
      <c r="U113" s="135"/>
      <c r="V113" s="135"/>
      <c r="W113" s="135"/>
      <c r="X113" s="135"/>
      <c r="Y113" s="135"/>
      <c r="Z113" s="132">
        <v>132.88999999999999</v>
      </c>
      <c r="AA113" s="132">
        <v>132.82999999999998</v>
      </c>
      <c r="AB113" s="132">
        <v>107.6</v>
      </c>
      <c r="AC113" s="132"/>
      <c r="AD113" s="132"/>
      <c r="AE113" s="132"/>
      <c r="AF113" s="132"/>
      <c r="AG113" s="132">
        <v>95.15</v>
      </c>
      <c r="AH113" s="132"/>
      <c r="AI113" s="132"/>
      <c r="AJ113" s="132">
        <v>113.6</v>
      </c>
      <c r="AK113" s="132"/>
      <c r="AL113" s="134"/>
    </row>
    <row r="114" spans="1:38" x14ac:dyDescent="0.35">
      <c r="A114" s="154">
        <v>35674</v>
      </c>
      <c r="B114" s="132">
        <v>459.82</v>
      </c>
      <c r="C114" s="135">
        <v>437.9</v>
      </c>
      <c r="D114" s="135">
        <v>209.92</v>
      </c>
      <c r="E114" s="132">
        <v>210.66</v>
      </c>
      <c r="F114" s="132">
        <v>263.58000000000004</v>
      </c>
      <c r="G114" s="126">
        <v>155.27000000000001</v>
      </c>
      <c r="H114" s="127">
        <v>155.55000000000001</v>
      </c>
      <c r="I114" s="132">
        <v>200.5</v>
      </c>
      <c r="J114" s="127">
        <v>222.76000000000002</v>
      </c>
      <c r="K114" s="127">
        <v>233.69</v>
      </c>
      <c r="L114" s="132">
        <v>211.29000000000002</v>
      </c>
      <c r="M114" s="127">
        <v>109.04000000000002</v>
      </c>
      <c r="N114" s="135"/>
      <c r="O114" s="126">
        <v>128.77000000000001</v>
      </c>
      <c r="P114" s="135"/>
      <c r="Q114" s="128">
        <v>138.20999999999998</v>
      </c>
      <c r="R114" s="170">
        <v>179.3</v>
      </c>
      <c r="S114" s="135"/>
      <c r="T114" s="135"/>
      <c r="U114" s="135"/>
      <c r="V114" s="135"/>
      <c r="W114" s="135"/>
      <c r="X114" s="135"/>
      <c r="Y114" s="135"/>
      <c r="Z114" s="132">
        <v>132.80000000000001</v>
      </c>
      <c r="AA114" s="132">
        <v>132.75</v>
      </c>
      <c r="AB114" s="132">
        <v>107.73</v>
      </c>
      <c r="AC114" s="132"/>
      <c r="AD114" s="132"/>
      <c r="AE114" s="132"/>
      <c r="AF114" s="132"/>
      <c r="AG114" s="132">
        <v>95.08</v>
      </c>
      <c r="AH114" s="132"/>
      <c r="AI114" s="132"/>
      <c r="AJ114" s="132">
        <v>112.88</v>
      </c>
      <c r="AK114" s="132"/>
      <c r="AL114" s="134"/>
    </row>
    <row r="115" spans="1:38" x14ac:dyDescent="0.35">
      <c r="A115" s="154">
        <v>35704</v>
      </c>
      <c r="B115" s="132">
        <v>459.8</v>
      </c>
      <c r="C115" s="135">
        <v>437.92</v>
      </c>
      <c r="D115" s="135">
        <v>209.94</v>
      </c>
      <c r="E115" s="132">
        <v>210.68</v>
      </c>
      <c r="F115" s="132">
        <v>263.60000000000002</v>
      </c>
      <c r="G115" s="126">
        <v>155.25</v>
      </c>
      <c r="H115" s="127">
        <v>155.55000000000001</v>
      </c>
      <c r="I115" s="132">
        <v>200.5</v>
      </c>
      <c r="J115" s="127">
        <v>222.71</v>
      </c>
      <c r="K115" s="127">
        <v>233.68</v>
      </c>
      <c r="L115" s="132">
        <v>211.24</v>
      </c>
      <c r="M115" s="127">
        <v>109.87</v>
      </c>
      <c r="N115" s="135"/>
      <c r="O115" s="126">
        <v>128.75</v>
      </c>
      <c r="P115" s="135"/>
      <c r="Q115" s="128">
        <v>139.44</v>
      </c>
      <c r="R115" s="170">
        <v>179.3</v>
      </c>
      <c r="S115" s="135"/>
      <c r="T115" s="135"/>
      <c r="U115" s="135"/>
      <c r="V115" s="135"/>
      <c r="W115" s="135"/>
      <c r="X115" s="135"/>
      <c r="Y115" s="135"/>
      <c r="Z115" s="132">
        <v>132.71</v>
      </c>
      <c r="AA115" s="132">
        <v>132.63999999999999</v>
      </c>
      <c r="AB115" s="132">
        <v>107.73</v>
      </c>
      <c r="AC115" s="132"/>
      <c r="AD115" s="132"/>
      <c r="AE115" s="132"/>
      <c r="AF115" s="132"/>
      <c r="AG115" s="132">
        <v>94.960000000000008</v>
      </c>
      <c r="AH115" s="132"/>
      <c r="AI115" s="132"/>
      <c r="AJ115" s="132">
        <v>112.25999999999999</v>
      </c>
      <c r="AK115" s="132"/>
      <c r="AL115" s="134"/>
    </row>
    <row r="116" spans="1:38" x14ac:dyDescent="0.35">
      <c r="A116" s="154">
        <v>35735</v>
      </c>
      <c r="B116" s="132">
        <v>459.7</v>
      </c>
      <c r="C116" s="135">
        <v>436.64</v>
      </c>
      <c r="D116" s="135">
        <v>208.88</v>
      </c>
      <c r="E116" s="132">
        <v>217.42</v>
      </c>
      <c r="F116" s="132">
        <v>263.29000000000002</v>
      </c>
      <c r="G116" s="126">
        <v>156.09</v>
      </c>
      <c r="H116" s="127">
        <v>155.69</v>
      </c>
      <c r="I116" s="132">
        <v>200.5</v>
      </c>
      <c r="J116" s="127">
        <v>222.33</v>
      </c>
      <c r="K116" s="127">
        <v>233.07</v>
      </c>
      <c r="L116" s="132">
        <v>211.07</v>
      </c>
      <c r="M116" s="127">
        <v>109.30000000000001</v>
      </c>
      <c r="N116" s="135"/>
      <c r="O116" s="126">
        <v>127.59</v>
      </c>
      <c r="P116" s="135"/>
      <c r="Q116" s="128">
        <v>135.96999999999997</v>
      </c>
      <c r="R116" s="170">
        <v>179.3</v>
      </c>
      <c r="S116" s="135"/>
      <c r="T116" s="135"/>
      <c r="U116" s="135"/>
      <c r="V116" s="135"/>
      <c r="W116" s="135"/>
      <c r="X116" s="135"/>
      <c r="Y116" s="135"/>
      <c r="Z116" s="132">
        <v>132.55000000000001</v>
      </c>
      <c r="AA116" s="132">
        <v>132.61000000000001</v>
      </c>
      <c r="AB116" s="132">
        <v>107.7</v>
      </c>
      <c r="AC116" s="132"/>
      <c r="AD116" s="132"/>
      <c r="AE116" s="132"/>
      <c r="AF116" s="132"/>
      <c r="AG116" s="132">
        <v>94.83</v>
      </c>
      <c r="AH116" s="132"/>
      <c r="AI116" s="132"/>
      <c r="AJ116" s="132">
        <v>111.49000000000001</v>
      </c>
      <c r="AK116" s="132"/>
      <c r="AL116" s="134"/>
    </row>
    <row r="117" spans="1:38" x14ac:dyDescent="0.35">
      <c r="A117" s="154">
        <v>35765</v>
      </c>
      <c r="B117" s="132">
        <v>459.7</v>
      </c>
      <c r="C117" s="135">
        <v>439.04</v>
      </c>
      <c r="D117" s="135">
        <v>208.29999999999998</v>
      </c>
      <c r="E117" s="132">
        <v>217.13</v>
      </c>
      <c r="F117" s="132">
        <v>266.37</v>
      </c>
      <c r="G117" s="126">
        <v>156.62</v>
      </c>
      <c r="H117" s="127">
        <v>156.51000000000002</v>
      </c>
      <c r="I117" s="132">
        <v>212.75</v>
      </c>
      <c r="J117" s="127">
        <v>222.79000000000002</v>
      </c>
      <c r="K117" s="127">
        <v>235.53</v>
      </c>
      <c r="L117" s="132">
        <v>212.01000000000002</v>
      </c>
      <c r="M117" s="127">
        <v>109.4</v>
      </c>
      <c r="N117" s="135">
        <v>148.48000000000002</v>
      </c>
      <c r="O117" s="126">
        <v>126.88000000000001</v>
      </c>
      <c r="P117" s="135"/>
      <c r="Q117" s="128">
        <v>135.94</v>
      </c>
      <c r="R117" s="170">
        <v>179.3</v>
      </c>
      <c r="S117" s="135"/>
      <c r="T117" s="135"/>
      <c r="U117" s="135"/>
      <c r="V117" s="135"/>
      <c r="W117" s="135"/>
      <c r="X117" s="135"/>
      <c r="Y117" s="135"/>
      <c r="Z117" s="132">
        <v>132.69999999999999</v>
      </c>
      <c r="AA117" s="132">
        <v>132.77000000000001</v>
      </c>
      <c r="AB117" s="132">
        <v>107.77</v>
      </c>
      <c r="AC117" s="132"/>
      <c r="AD117" s="132"/>
      <c r="AE117" s="132"/>
      <c r="AF117" s="132"/>
      <c r="AG117" s="132">
        <v>94.7</v>
      </c>
      <c r="AH117" s="132"/>
      <c r="AI117" s="132"/>
      <c r="AJ117" s="132">
        <v>110.96000000000001</v>
      </c>
      <c r="AK117" s="132"/>
      <c r="AL117" s="134"/>
    </row>
    <row r="118" spans="1:38" x14ac:dyDescent="0.35">
      <c r="A118" s="154">
        <v>35796</v>
      </c>
      <c r="B118" s="132">
        <v>460</v>
      </c>
      <c r="C118" s="135">
        <v>438.6</v>
      </c>
      <c r="D118" s="135">
        <v>209.22</v>
      </c>
      <c r="E118" s="132">
        <v>217.82</v>
      </c>
      <c r="F118" s="132">
        <v>266.88</v>
      </c>
      <c r="G118" s="126">
        <v>156.84</v>
      </c>
      <c r="H118" s="127">
        <v>156.80000000000001</v>
      </c>
      <c r="I118" s="132">
        <v>213.3</v>
      </c>
      <c r="J118" s="127">
        <v>223.36</v>
      </c>
      <c r="K118" s="127">
        <v>237.14000000000001</v>
      </c>
      <c r="L118" s="132">
        <v>212.49</v>
      </c>
      <c r="M118" s="127">
        <v>109.39000000000001</v>
      </c>
      <c r="N118" s="135">
        <v>149.01000000000002</v>
      </c>
      <c r="O118" s="126">
        <v>126.84</v>
      </c>
      <c r="P118" s="135"/>
      <c r="Q118" s="128">
        <v>136.44</v>
      </c>
      <c r="R118" s="170">
        <v>179.3</v>
      </c>
      <c r="S118" s="135"/>
      <c r="T118" s="135"/>
      <c r="U118" s="135"/>
      <c r="V118" s="135"/>
      <c r="W118" s="135"/>
      <c r="X118" s="135"/>
      <c r="Y118" s="135"/>
      <c r="Z118" s="132">
        <v>132.65</v>
      </c>
      <c r="AA118" s="132">
        <v>132.72</v>
      </c>
      <c r="AB118" s="132">
        <v>107.68</v>
      </c>
      <c r="AC118" s="132"/>
      <c r="AD118" s="132"/>
      <c r="AE118" s="132"/>
      <c r="AF118" s="132"/>
      <c r="AG118" s="132">
        <v>94.64</v>
      </c>
      <c r="AH118" s="132"/>
      <c r="AI118" s="132"/>
      <c r="AJ118" s="132">
        <v>110.59</v>
      </c>
      <c r="AK118" s="132"/>
      <c r="AL118" s="134"/>
    </row>
    <row r="119" spans="1:38" x14ac:dyDescent="0.35">
      <c r="A119" s="154">
        <v>35827</v>
      </c>
      <c r="B119" s="132">
        <v>459.4</v>
      </c>
      <c r="C119" s="135">
        <v>439.4</v>
      </c>
      <c r="D119" s="135">
        <v>209.70999999999998</v>
      </c>
      <c r="E119" s="132">
        <v>218.42</v>
      </c>
      <c r="F119" s="132">
        <v>272.5</v>
      </c>
      <c r="G119" s="126">
        <v>172.85000000000002</v>
      </c>
      <c r="H119" s="127">
        <v>161.52000000000001</v>
      </c>
      <c r="I119" s="132">
        <v>213.3</v>
      </c>
      <c r="J119" s="127">
        <v>225.34</v>
      </c>
      <c r="K119" s="127">
        <v>246</v>
      </c>
      <c r="L119" s="132">
        <v>214.70000000000002</v>
      </c>
      <c r="M119" s="127">
        <v>110.49000000000001</v>
      </c>
      <c r="N119" s="135">
        <v>154.01000000000002</v>
      </c>
      <c r="O119" s="126">
        <v>127.25</v>
      </c>
      <c r="P119" s="135"/>
      <c r="Q119" s="128">
        <v>143.89999999999998</v>
      </c>
      <c r="R119" s="170">
        <v>179.3</v>
      </c>
      <c r="S119" s="135"/>
      <c r="T119" s="135"/>
      <c r="U119" s="135"/>
      <c r="V119" s="135"/>
      <c r="W119" s="135"/>
      <c r="X119" s="135"/>
      <c r="Y119" s="135"/>
      <c r="Z119" s="132">
        <v>141.65</v>
      </c>
      <c r="AA119" s="132">
        <v>141.61000000000001</v>
      </c>
      <c r="AB119" s="132">
        <v>107.44</v>
      </c>
      <c r="AC119" s="132"/>
      <c r="AD119" s="132"/>
      <c r="AE119" s="132"/>
      <c r="AF119" s="132"/>
      <c r="AG119" s="132">
        <v>95.3</v>
      </c>
      <c r="AH119" s="132"/>
      <c r="AI119" s="132"/>
      <c r="AJ119" s="132">
        <v>110.77000000000001</v>
      </c>
      <c r="AK119" s="132"/>
      <c r="AL119" s="134"/>
    </row>
    <row r="120" spans="1:38" x14ac:dyDescent="0.35">
      <c r="A120" s="155">
        <v>35855</v>
      </c>
      <c r="B120" s="132">
        <v>459.2</v>
      </c>
      <c r="C120" s="135">
        <v>438.99</v>
      </c>
      <c r="D120" s="135">
        <v>209.38</v>
      </c>
      <c r="E120" s="132">
        <v>217.79999999999998</v>
      </c>
      <c r="F120" s="132">
        <v>268.60000000000002</v>
      </c>
      <c r="G120" s="126">
        <v>170.4</v>
      </c>
      <c r="H120" s="127">
        <v>161.02000000000001</v>
      </c>
      <c r="I120" s="132">
        <v>205.94</v>
      </c>
      <c r="J120" s="127">
        <v>227.60000000000002</v>
      </c>
      <c r="K120" s="127">
        <v>241.91</v>
      </c>
      <c r="L120" s="132">
        <v>214.5</v>
      </c>
      <c r="M120" s="127">
        <v>110.63000000000001</v>
      </c>
      <c r="N120" s="135">
        <v>150.77000000000001</v>
      </c>
      <c r="O120" s="126">
        <v>128.08000000000001</v>
      </c>
      <c r="P120" s="135"/>
      <c r="Q120" s="128">
        <v>143.94</v>
      </c>
      <c r="R120" s="170">
        <v>179.3</v>
      </c>
      <c r="S120" s="135"/>
      <c r="T120" s="135"/>
      <c r="U120" s="135"/>
      <c r="V120" s="135"/>
      <c r="W120" s="135"/>
      <c r="X120" s="135"/>
      <c r="Y120" s="135"/>
      <c r="Z120" s="132">
        <v>137.43</v>
      </c>
      <c r="AA120" s="132">
        <v>137.4</v>
      </c>
      <c r="AB120" s="132">
        <v>107.76</v>
      </c>
      <c r="AC120" s="132"/>
      <c r="AD120" s="132"/>
      <c r="AE120" s="132"/>
      <c r="AF120" s="132"/>
      <c r="AG120" s="132">
        <v>96.37</v>
      </c>
      <c r="AH120" s="132"/>
      <c r="AI120" s="132"/>
      <c r="AJ120" s="132">
        <v>114.61</v>
      </c>
      <c r="AK120" s="132"/>
      <c r="AL120" s="134"/>
    </row>
    <row r="121" spans="1:38" x14ac:dyDescent="0.35">
      <c r="A121" s="154">
        <v>35886</v>
      </c>
      <c r="B121" s="132">
        <v>459.68</v>
      </c>
      <c r="C121" s="135">
        <v>437.82</v>
      </c>
      <c r="D121" s="135">
        <v>211.29999999999998</v>
      </c>
      <c r="E121" s="132">
        <v>219.51999999999998</v>
      </c>
      <c r="F121" s="132">
        <v>273.11</v>
      </c>
      <c r="G121" s="126">
        <v>169.17000000000002</v>
      </c>
      <c r="H121" s="127">
        <v>162.91000000000003</v>
      </c>
      <c r="I121" s="132">
        <v>212.35000000000002</v>
      </c>
      <c r="J121" s="127">
        <v>226.29000000000002</v>
      </c>
      <c r="K121" s="127">
        <v>240.62</v>
      </c>
      <c r="L121" s="132">
        <v>214.20000000000002</v>
      </c>
      <c r="M121" s="127">
        <v>110.51000000000002</v>
      </c>
      <c r="N121" s="135">
        <v>151.77000000000001</v>
      </c>
      <c r="O121" s="126">
        <v>127.89000000000001</v>
      </c>
      <c r="P121" s="135"/>
      <c r="Q121" s="128">
        <v>144.44</v>
      </c>
      <c r="R121" s="170">
        <v>179.3</v>
      </c>
      <c r="S121" s="135"/>
      <c r="T121" s="135"/>
      <c r="U121" s="135"/>
      <c r="V121" s="135"/>
      <c r="W121" s="135"/>
      <c r="X121" s="135"/>
      <c r="Y121" s="135"/>
      <c r="Z121" s="132">
        <v>136.88</v>
      </c>
      <c r="AA121" s="132">
        <v>136.84</v>
      </c>
      <c r="AB121" s="132">
        <v>108.07</v>
      </c>
      <c r="AC121" s="132"/>
      <c r="AD121" s="132"/>
      <c r="AE121" s="132"/>
      <c r="AF121" s="132"/>
      <c r="AG121" s="132">
        <v>96.16</v>
      </c>
      <c r="AH121" s="132"/>
      <c r="AI121" s="132"/>
      <c r="AJ121" s="132">
        <v>118.74000000000001</v>
      </c>
      <c r="AK121" s="132"/>
      <c r="AL121" s="134"/>
    </row>
    <row r="122" spans="1:38" x14ac:dyDescent="0.35">
      <c r="A122" s="154">
        <v>35916</v>
      </c>
      <c r="B122" s="132">
        <v>461.08</v>
      </c>
      <c r="C122" s="135">
        <v>439.15</v>
      </c>
      <c r="D122" s="135">
        <v>210.84</v>
      </c>
      <c r="E122" s="132">
        <v>219.38</v>
      </c>
      <c r="F122" s="132">
        <v>272.42</v>
      </c>
      <c r="G122" s="126">
        <v>166.4</v>
      </c>
      <c r="H122" s="127">
        <v>161.18</v>
      </c>
      <c r="I122" s="132">
        <v>213.3</v>
      </c>
      <c r="J122" s="127">
        <v>225.19</v>
      </c>
      <c r="K122" s="127">
        <v>239.29</v>
      </c>
      <c r="L122" s="132">
        <v>213.55</v>
      </c>
      <c r="M122" s="127">
        <v>116.81</v>
      </c>
      <c r="N122" s="135">
        <v>143.46</v>
      </c>
      <c r="O122" s="126">
        <v>134.99</v>
      </c>
      <c r="P122" s="135"/>
      <c r="Q122" s="128">
        <v>154.67999999999998</v>
      </c>
      <c r="R122" s="170">
        <v>179.3</v>
      </c>
      <c r="S122" s="135"/>
      <c r="T122" s="135"/>
      <c r="U122" s="135"/>
      <c r="V122" s="135"/>
      <c r="W122" s="135"/>
      <c r="X122" s="135"/>
      <c r="Y122" s="135"/>
      <c r="Z122" s="132">
        <v>135.43</v>
      </c>
      <c r="AA122" s="132">
        <v>135.38999999999999</v>
      </c>
      <c r="AB122" s="132">
        <v>106.46000000000001</v>
      </c>
      <c r="AC122" s="132"/>
      <c r="AD122" s="132"/>
      <c r="AE122" s="132"/>
      <c r="AF122" s="132"/>
      <c r="AG122" s="132">
        <v>96.03</v>
      </c>
      <c r="AH122" s="132"/>
      <c r="AI122" s="132"/>
      <c r="AJ122" s="132">
        <v>120.12</v>
      </c>
      <c r="AK122" s="132"/>
      <c r="AL122" s="134"/>
    </row>
    <row r="123" spans="1:38" x14ac:dyDescent="0.35">
      <c r="A123" s="154">
        <v>35947</v>
      </c>
      <c r="B123" s="132">
        <v>461.04</v>
      </c>
      <c r="C123" s="135">
        <v>439.18</v>
      </c>
      <c r="D123" s="135">
        <v>210.82</v>
      </c>
      <c r="E123" s="132">
        <v>219.29999999999998</v>
      </c>
      <c r="F123" s="132">
        <v>271.62</v>
      </c>
      <c r="G123" s="126">
        <v>165.36</v>
      </c>
      <c r="H123" s="127">
        <v>160.76000000000002</v>
      </c>
      <c r="I123" s="132">
        <v>200.5</v>
      </c>
      <c r="J123" s="127">
        <v>225.46</v>
      </c>
      <c r="K123" s="127">
        <v>238.78</v>
      </c>
      <c r="L123" s="132">
        <v>213.46</v>
      </c>
      <c r="M123" s="127">
        <v>116.65</v>
      </c>
      <c r="N123" s="135">
        <v>149.79000000000002</v>
      </c>
      <c r="O123" s="126">
        <v>134.59</v>
      </c>
      <c r="P123" s="135"/>
      <c r="Q123" s="128">
        <v>152.13999999999999</v>
      </c>
      <c r="R123" s="170">
        <v>179.3</v>
      </c>
      <c r="S123" s="135"/>
      <c r="T123" s="135"/>
      <c r="U123" s="135"/>
      <c r="V123" s="135"/>
      <c r="W123" s="135"/>
      <c r="X123" s="135"/>
      <c r="Y123" s="135"/>
      <c r="Z123" s="132">
        <v>135.29</v>
      </c>
      <c r="AA123" s="132">
        <v>135.25</v>
      </c>
      <c r="AB123" s="132">
        <v>109.2</v>
      </c>
      <c r="AC123" s="132"/>
      <c r="AD123" s="132"/>
      <c r="AE123" s="132"/>
      <c r="AF123" s="132"/>
      <c r="AG123" s="132">
        <v>95.94</v>
      </c>
      <c r="AH123" s="132"/>
      <c r="AI123" s="132"/>
      <c r="AJ123" s="132">
        <v>120.95</v>
      </c>
      <c r="AK123" s="132"/>
      <c r="AL123" s="134"/>
    </row>
    <row r="124" spans="1:38" x14ac:dyDescent="0.35">
      <c r="A124" s="154">
        <v>35977</v>
      </c>
      <c r="B124" s="132">
        <v>460.8</v>
      </c>
      <c r="C124" s="135">
        <v>437.96</v>
      </c>
      <c r="D124" s="135">
        <v>210.64</v>
      </c>
      <c r="E124" s="132">
        <v>218.85</v>
      </c>
      <c r="F124" s="132">
        <v>270.3</v>
      </c>
      <c r="G124" s="126">
        <v>158.98000000000002</v>
      </c>
      <c r="H124" s="127">
        <v>158.35000000000002</v>
      </c>
      <c r="I124" s="132">
        <v>200.5</v>
      </c>
      <c r="J124" s="127">
        <v>224.23000000000002</v>
      </c>
      <c r="K124" s="127">
        <v>236.87</v>
      </c>
      <c r="L124" s="132">
        <v>212.62</v>
      </c>
      <c r="M124" s="127">
        <v>115.46000000000001</v>
      </c>
      <c r="N124" s="135"/>
      <c r="O124" s="126">
        <v>134.02000000000001</v>
      </c>
      <c r="P124" s="135"/>
      <c r="Q124" s="128">
        <v>150.79</v>
      </c>
      <c r="R124" s="170">
        <v>179.3</v>
      </c>
      <c r="S124" s="135"/>
      <c r="T124" s="135"/>
      <c r="U124" s="135"/>
      <c r="V124" s="135"/>
      <c r="W124" s="135"/>
      <c r="X124" s="135"/>
      <c r="Y124" s="135"/>
      <c r="Z124" s="132">
        <v>134.47</v>
      </c>
      <c r="AA124" s="132">
        <v>134.36000000000001</v>
      </c>
      <c r="AB124" s="132">
        <v>109.83</v>
      </c>
      <c r="AC124" s="132"/>
      <c r="AD124" s="132"/>
      <c r="AE124" s="132"/>
      <c r="AF124" s="132"/>
      <c r="AG124" s="132">
        <v>95.77000000000001</v>
      </c>
      <c r="AH124" s="132"/>
      <c r="AI124" s="132"/>
      <c r="AJ124" s="132">
        <v>120.82</v>
      </c>
      <c r="AK124" s="132"/>
      <c r="AL124" s="134"/>
    </row>
    <row r="125" spans="1:38" x14ac:dyDescent="0.35">
      <c r="A125" s="154">
        <v>36008</v>
      </c>
      <c r="B125" s="132">
        <v>460.8</v>
      </c>
      <c r="C125" s="135">
        <v>437.77</v>
      </c>
      <c r="D125" s="135">
        <v>210.48</v>
      </c>
      <c r="E125" s="132">
        <v>218.51999999999998</v>
      </c>
      <c r="F125" s="132">
        <v>269.61</v>
      </c>
      <c r="G125" s="126">
        <v>157.71</v>
      </c>
      <c r="H125" s="127">
        <v>157.47000000000003</v>
      </c>
      <c r="I125" s="132">
        <v>200.5</v>
      </c>
      <c r="J125" s="127">
        <v>223.82</v>
      </c>
      <c r="K125" s="127">
        <v>235.54</v>
      </c>
      <c r="L125" s="132">
        <v>212.25</v>
      </c>
      <c r="M125" s="127">
        <v>114.60000000000001</v>
      </c>
      <c r="N125" s="135"/>
      <c r="O125" s="126">
        <v>133.45000000000002</v>
      </c>
      <c r="P125" s="135"/>
      <c r="Q125" s="128">
        <v>148.73999999999998</v>
      </c>
      <c r="R125" s="170">
        <v>179.3</v>
      </c>
      <c r="S125" s="135"/>
      <c r="T125" s="135"/>
      <c r="U125" s="135"/>
      <c r="V125" s="135"/>
      <c r="W125" s="135"/>
      <c r="X125" s="135"/>
      <c r="Y125" s="135"/>
      <c r="Z125" s="132">
        <v>134.07999999999998</v>
      </c>
      <c r="AA125" s="132">
        <v>133.99</v>
      </c>
      <c r="AB125" s="132">
        <v>110.03</v>
      </c>
      <c r="AC125" s="132"/>
      <c r="AD125" s="132"/>
      <c r="AE125" s="132"/>
      <c r="AF125" s="132"/>
      <c r="AG125" s="132">
        <v>94.509999999999991</v>
      </c>
      <c r="AH125" s="132"/>
      <c r="AI125" s="132"/>
      <c r="AJ125" s="132">
        <v>120.3</v>
      </c>
      <c r="AK125" s="132"/>
      <c r="AL125" s="134"/>
    </row>
    <row r="126" spans="1:38" x14ac:dyDescent="0.35">
      <c r="A126" s="154">
        <v>36039</v>
      </c>
      <c r="B126" s="132">
        <v>461</v>
      </c>
      <c r="C126" s="135">
        <v>437.97</v>
      </c>
      <c r="D126" s="135">
        <v>210.25</v>
      </c>
      <c r="E126" s="132">
        <v>218.57999999999998</v>
      </c>
      <c r="F126" s="132">
        <v>269.16000000000003</v>
      </c>
      <c r="G126" s="126">
        <v>157.04000000000002</v>
      </c>
      <c r="H126" s="127">
        <v>156.52000000000001</v>
      </c>
      <c r="I126" s="132">
        <v>200.5</v>
      </c>
      <c r="J126" s="127">
        <v>223.58</v>
      </c>
      <c r="K126" s="127">
        <v>234.75</v>
      </c>
      <c r="L126" s="132">
        <v>212.39000000000001</v>
      </c>
      <c r="M126" s="127">
        <v>113.92000000000002</v>
      </c>
      <c r="N126" s="135"/>
      <c r="O126" s="126">
        <v>132.99</v>
      </c>
      <c r="P126" s="135"/>
      <c r="Q126" s="128">
        <v>147.04</v>
      </c>
      <c r="R126" s="170">
        <v>179.3</v>
      </c>
      <c r="S126" s="135"/>
      <c r="T126" s="135"/>
      <c r="U126" s="135"/>
      <c r="V126" s="135"/>
      <c r="W126" s="135"/>
      <c r="X126" s="135"/>
      <c r="Y126" s="135"/>
      <c r="Z126" s="132">
        <v>133.9</v>
      </c>
      <c r="AA126" s="132">
        <v>133.77000000000001</v>
      </c>
      <c r="AB126" s="132">
        <v>109.92</v>
      </c>
      <c r="AC126" s="132"/>
      <c r="AD126" s="132"/>
      <c r="AE126" s="132"/>
      <c r="AF126" s="132"/>
      <c r="AG126" s="132">
        <v>93.22</v>
      </c>
      <c r="AH126" s="132"/>
      <c r="AI126" s="132"/>
      <c r="AJ126" s="132">
        <v>119.78999999999999</v>
      </c>
      <c r="AK126" s="132"/>
      <c r="AL126" s="134"/>
    </row>
    <row r="127" spans="1:38" x14ac:dyDescent="0.35">
      <c r="A127" s="155">
        <v>36095</v>
      </c>
      <c r="B127" s="132">
        <v>460.26</v>
      </c>
      <c r="C127" s="135">
        <v>437.26</v>
      </c>
      <c r="D127" s="135">
        <v>209.94</v>
      </c>
      <c r="E127" s="132">
        <v>218.26999999999998</v>
      </c>
      <c r="F127" s="132">
        <v>269.56</v>
      </c>
      <c r="G127" s="126">
        <v>156.78</v>
      </c>
      <c r="H127" s="127">
        <v>156.80000000000001</v>
      </c>
      <c r="I127" s="132">
        <v>200.5</v>
      </c>
      <c r="J127" s="127">
        <v>223.34</v>
      </c>
      <c r="K127" s="127">
        <v>234.08</v>
      </c>
      <c r="L127" s="132">
        <v>212.18</v>
      </c>
      <c r="M127" s="127">
        <v>112.96000000000001</v>
      </c>
      <c r="N127" s="135"/>
      <c r="O127" s="126">
        <v>132.42000000000002</v>
      </c>
      <c r="P127" s="132"/>
      <c r="Q127" s="128">
        <v>145.94</v>
      </c>
      <c r="R127" s="170">
        <v>179.3</v>
      </c>
      <c r="S127" s="145"/>
      <c r="T127" s="135"/>
      <c r="U127" s="145"/>
      <c r="V127" s="135"/>
      <c r="W127" s="145"/>
      <c r="X127" s="135"/>
      <c r="Y127" s="145"/>
      <c r="Z127" s="132">
        <v>133.61000000000001</v>
      </c>
      <c r="AA127" s="132">
        <v>133.57999999999998</v>
      </c>
      <c r="AB127" s="132">
        <v>110.38</v>
      </c>
      <c r="AC127" s="132"/>
      <c r="AD127" s="132"/>
      <c r="AE127" s="132"/>
      <c r="AF127" s="132"/>
      <c r="AG127" s="132">
        <v>95.4</v>
      </c>
      <c r="AH127" s="132"/>
      <c r="AI127" s="132"/>
      <c r="AJ127" s="132">
        <v>118.38</v>
      </c>
      <c r="AK127" s="132"/>
      <c r="AL127" s="134"/>
    </row>
    <row r="128" spans="1:38" x14ac:dyDescent="0.35">
      <c r="A128" s="155">
        <v>36109</v>
      </c>
      <c r="B128" s="132">
        <v>460.42</v>
      </c>
      <c r="C128" s="135">
        <v>437.63</v>
      </c>
      <c r="D128" s="135">
        <v>209.88</v>
      </c>
      <c r="E128" s="132">
        <v>218.28</v>
      </c>
      <c r="F128" s="132">
        <v>268.76</v>
      </c>
      <c r="G128" s="126">
        <v>156.4</v>
      </c>
      <c r="H128" s="127">
        <v>156.45000000000002</v>
      </c>
      <c r="I128" s="132">
        <v>204.89000000000001</v>
      </c>
      <c r="J128" s="127">
        <v>223.23000000000002</v>
      </c>
      <c r="K128" s="127">
        <v>233.88</v>
      </c>
      <c r="L128" s="132">
        <v>211.77</v>
      </c>
      <c r="M128" s="127">
        <v>111.50000000000001</v>
      </c>
      <c r="N128" s="135"/>
      <c r="O128" s="126">
        <v>131.78</v>
      </c>
      <c r="P128" s="132"/>
      <c r="Q128" s="128">
        <v>144.20999999999998</v>
      </c>
      <c r="R128" s="170">
        <v>179.3</v>
      </c>
      <c r="S128" s="145"/>
      <c r="T128" s="135"/>
      <c r="U128" s="145"/>
      <c r="V128" s="135"/>
      <c r="W128" s="145"/>
      <c r="X128" s="135"/>
      <c r="Y128" s="145"/>
      <c r="Z128" s="132">
        <v>133.55000000000001</v>
      </c>
      <c r="AA128" s="132">
        <v>133.49</v>
      </c>
      <c r="AB128" s="132">
        <v>110.5</v>
      </c>
      <c r="AC128" s="132"/>
      <c r="AD128" s="132"/>
      <c r="AE128" s="132"/>
      <c r="AF128" s="132"/>
      <c r="AG128" s="132">
        <v>95.34</v>
      </c>
      <c r="AH128" s="132"/>
      <c r="AI128" s="132"/>
      <c r="AJ128" s="132">
        <v>117.92</v>
      </c>
      <c r="AK128" s="132"/>
      <c r="AL128" s="138"/>
    </row>
    <row r="129" spans="1:38" x14ac:dyDescent="0.35">
      <c r="A129" s="155">
        <v>36144</v>
      </c>
      <c r="B129" s="132">
        <v>460.4</v>
      </c>
      <c r="C129" s="135">
        <v>437.16</v>
      </c>
      <c r="D129" s="135">
        <v>209.47</v>
      </c>
      <c r="E129" s="132">
        <v>218.04</v>
      </c>
      <c r="F129" s="132">
        <v>269.48</v>
      </c>
      <c r="G129" s="126">
        <v>156.9</v>
      </c>
      <c r="H129" s="127">
        <v>156.92000000000002</v>
      </c>
      <c r="I129" s="132">
        <v>212.48000000000002</v>
      </c>
      <c r="J129" s="127">
        <v>223.47</v>
      </c>
      <c r="K129" s="127">
        <v>234.1</v>
      </c>
      <c r="L129" s="132">
        <v>212.14000000000001</v>
      </c>
      <c r="M129" s="127">
        <v>112.83000000000001</v>
      </c>
      <c r="N129" s="135">
        <v>137.25</v>
      </c>
      <c r="O129" s="126">
        <v>131.11000000000001</v>
      </c>
      <c r="P129" s="132"/>
      <c r="Q129" s="128">
        <v>142.87</v>
      </c>
      <c r="R129" s="170">
        <v>179.3</v>
      </c>
      <c r="S129" s="145"/>
      <c r="T129" s="135"/>
      <c r="U129" s="145"/>
      <c r="V129" s="135"/>
      <c r="W129" s="145"/>
      <c r="X129" s="135"/>
      <c r="Y129" s="145"/>
      <c r="Z129" s="132">
        <v>133.4</v>
      </c>
      <c r="AA129" s="132">
        <v>133.34</v>
      </c>
      <c r="AB129" s="132">
        <v>110.4</v>
      </c>
      <c r="AC129" s="132"/>
      <c r="AD129" s="132"/>
      <c r="AE129" s="132"/>
      <c r="AF129" s="132"/>
      <c r="AG129" s="132">
        <v>95.34</v>
      </c>
      <c r="AH129" s="132"/>
      <c r="AI129" s="132"/>
      <c r="AJ129" s="132">
        <v>116.64</v>
      </c>
      <c r="AK129" s="132"/>
      <c r="AL129" s="138"/>
    </row>
    <row r="130" spans="1:38" x14ac:dyDescent="0.35">
      <c r="A130" s="155">
        <v>36175</v>
      </c>
      <c r="B130" s="132">
        <v>460.32</v>
      </c>
      <c r="C130" s="135">
        <v>437.36</v>
      </c>
      <c r="D130" s="135">
        <v>208.98999999999998</v>
      </c>
      <c r="E130" s="132">
        <v>217.88</v>
      </c>
      <c r="F130" s="132">
        <v>268.25</v>
      </c>
      <c r="G130" s="126">
        <v>156.56</v>
      </c>
      <c r="H130" s="127">
        <v>156.48000000000002</v>
      </c>
      <c r="I130" s="132">
        <v>200.5</v>
      </c>
      <c r="J130" s="127">
        <v>222.99</v>
      </c>
      <c r="K130" s="127">
        <v>234.64000000000001</v>
      </c>
      <c r="L130" s="132">
        <v>211.51000000000002</v>
      </c>
      <c r="M130" s="127">
        <v>110.10000000000001</v>
      </c>
      <c r="N130" s="135"/>
      <c r="O130" s="126">
        <v>130.4</v>
      </c>
      <c r="P130" s="132"/>
      <c r="Q130" s="128">
        <v>141.41999999999999</v>
      </c>
      <c r="R130" s="170">
        <v>179.3</v>
      </c>
      <c r="S130" s="145"/>
      <c r="T130" s="135"/>
      <c r="U130" s="145"/>
      <c r="V130" s="135"/>
      <c r="W130" s="145"/>
      <c r="X130" s="135"/>
      <c r="Y130" s="145"/>
      <c r="Z130" s="132">
        <v>133.41</v>
      </c>
      <c r="AA130" s="132">
        <v>133.36000000000001</v>
      </c>
      <c r="AB130" s="132">
        <v>110.42</v>
      </c>
      <c r="AC130" s="132"/>
      <c r="AD130" s="132"/>
      <c r="AE130" s="132"/>
      <c r="AF130" s="132"/>
      <c r="AG130" s="132">
        <v>95.47999999999999</v>
      </c>
      <c r="AH130" s="132"/>
      <c r="AI130" s="132"/>
      <c r="AJ130" s="132">
        <v>116.78999999999999</v>
      </c>
      <c r="AK130" s="132"/>
      <c r="AL130" s="138"/>
    </row>
    <row r="131" spans="1:38" x14ac:dyDescent="0.35">
      <c r="A131" s="155">
        <v>36206</v>
      </c>
      <c r="B131" s="132">
        <v>460.24</v>
      </c>
      <c r="C131" s="135">
        <v>437.91</v>
      </c>
      <c r="D131" s="135">
        <v>209.29</v>
      </c>
      <c r="E131" s="132">
        <v>217.62</v>
      </c>
      <c r="F131" s="132">
        <v>268.26</v>
      </c>
      <c r="G131" s="126">
        <v>156.51000000000002</v>
      </c>
      <c r="H131" s="127">
        <v>156.03</v>
      </c>
      <c r="I131" s="132">
        <v>212.31</v>
      </c>
      <c r="J131" s="127">
        <v>222.91</v>
      </c>
      <c r="K131" s="127">
        <v>235.54</v>
      </c>
      <c r="L131" s="132">
        <v>211.54000000000002</v>
      </c>
      <c r="M131" s="127">
        <v>109.27000000000001</v>
      </c>
      <c r="N131" s="135"/>
      <c r="O131" s="126">
        <v>129.68</v>
      </c>
      <c r="P131" s="132"/>
      <c r="Q131" s="128">
        <v>140.08999999999997</v>
      </c>
      <c r="R131" s="170">
        <v>179.3</v>
      </c>
      <c r="S131" s="145"/>
      <c r="T131" s="135"/>
      <c r="U131" s="145"/>
      <c r="V131" s="135"/>
      <c r="W131" s="145"/>
      <c r="X131" s="135"/>
      <c r="Y131" s="145"/>
      <c r="Z131" s="132">
        <v>133.05000000000001</v>
      </c>
      <c r="AA131" s="132">
        <v>132.99</v>
      </c>
      <c r="AB131" s="132">
        <v>109.76</v>
      </c>
      <c r="AC131" s="132"/>
      <c r="AD131" s="132"/>
      <c r="AE131" s="132"/>
      <c r="AF131" s="132"/>
      <c r="AG131" s="132">
        <v>95.18</v>
      </c>
      <c r="AH131" s="132"/>
      <c r="AI131" s="132"/>
      <c r="AJ131" s="132">
        <v>114.14</v>
      </c>
      <c r="AK131" s="132"/>
      <c r="AL131" s="138"/>
    </row>
    <row r="132" spans="1:38" x14ac:dyDescent="0.35">
      <c r="A132" s="159">
        <v>36234</v>
      </c>
      <c r="B132" s="132">
        <v>460.36</v>
      </c>
      <c r="C132" s="135">
        <v>437.72</v>
      </c>
      <c r="D132" s="135">
        <v>209.20999999999998</v>
      </c>
      <c r="E132" s="132">
        <v>217.87</v>
      </c>
      <c r="F132" s="132">
        <v>268.17</v>
      </c>
      <c r="G132" s="126">
        <v>155.10000000000002</v>
      </c>
      <c r="H132" s="127">
        <v>155.80000000000001</v>
      </c>
      <c r="I132" s="132">
        <v>207.34</v>
      </c>
      <c r="J132" s="127">
        <v>222.9</v>
      </c>
      <c r="K132" s="127">
        <v>234.99</v>
      </c>
      <c r="L132" s="132">
        <v>211.48000000000002</v>
      </c>
      <c r="M132" s="127">
        <v>109.11000000000001</v>
      </c>
      <c r="N132" s="135"/>
      <c r="O132" s="126">
        <v>129</v>
      </c>
      <c r="P132" s="135"/>
      <c r="Q132" s="128">
        <v>138.96999999999997</v>
      </c>
      <c r="R132" s="170">
        <v>179.3</v>
      </c>
      <c r="S132" s="145"/>
      <c r="T132" s="135"/>
      <c r="U132" s="145"/>
      <c r="V132" s="135"/>
      <c r="W132" s="145"/>
      <c r="X132" s="135"/>
      <c r="Y132" s="145"/>
      <c r="Z132" s="135">
        <v>132.9</v>
      </c>
      <c r="AA132" s="135">
        <v>132.85</v>
      </c>
      <c r="AB132" s="135">
        <v>109.57</v>
      </c>
      <c r="AC132" s="135"/>
      <c r="AD132" s="135"/>
      <c r="AE132" s="135"/>
      <c r="AF132" s="135"/>
      <c r="AG132" s="135">
        <v>95.17</v>
      </c>
      <c r="AH132" s="135"/>
      <c r="AI132" s="135"/>
      <c r="AJ132" s="135"/>
      <c r="AK132" s="135"/>
      <c r="AL132" s="138"/>
    </row>
    <row r="133" spans="1:38" x14ac:dyDescent="0.35">
      <c r="A133" s="159">
        <v>36265</v>
      </c>
      <c r="B133" s="132">
        <v>460.18</v>
      </c>
      <c r="C133" s="135">
        <v>437.69</v>
      </c>
      <c r="D133" s="135">
        <v>208.94</v>
      </c>
      <c r="E133" s="132">
        <v>217.5</v>
      </c>
      <c r="F133" s="132">
        <v>268.18</v>
      </c>
      <c r="G133" s="126">
        <v>156.18</v>
      </c>
      <c r="H133" s="127">
        <v>156.34</v>
      </c>
      <c r="I133" s="132">
        <v>211.92000000000002</v>
      </c>
      <c r="J133" s="127">
        <v>222.95000000000002</v>
      </c>
      <c r="K133" s="127">
        <v>235.14000000000001</v>
      </c>
      <c r="L133" s="132">
        <v>211.72</v>
      </c>
      <c r="M133" s="127">
        <v>108.65</v>
      </c>
      <c r="N133" s="135"/>
      <c r="O133" s="126">
        <v>128.29000000000002</v>
      </c>
      <c r="P133" s="132"/>
      <c r="Q133" s="128">
        <v>137.88999999999999</v>
      </c>
      <c r="R133" s="170">
        <v>179.3</v>
      </c>
      <c r="S133" s="145"/>
      <c r="T133" s="135"/>
      <c r="U133" s="145"/>
      <c r="V133" s="135"/>
      <c r="W133" s="145"/>
      <c r="X133" s="135"/>
      <c r="Y133" s="145"/>
      <c r="Z133" s="135">
        <v>132.82</v>
      </c>
      <c r="AA133" s="135">
        <v>132.77000000000001</v>
      </c>
      <c r="AB133" s="135">
        <v>109.38</v>
      </c>
      <c r="AC133" s="135"/>
      <c r="AD133" s="135"/>
      <c r="AE133" s="135"/>
      <c r="AF133" s="135"/>
      <c r="AG133" s="135">
        <v>95.09</v>
      </c>
      <c r="AH133" s="132"/>
      <c r="AI133" s="132"/>
      <c r="AJ133" s="132">
        <v>112.8</v>
      </c>
      <c r="AK133" s="132"/>
      <c r="AL133" s="138"/>
    </row>
    <row r="134" spans="1:38" x14ac:dyDescent="0.35">
      <c r="A134" s="159">
        <v>36295</v>
      </c>
      <c r="B134" s="132">
        <v>460.47</v>
      </c>
      <c r="C134" s="135">
        <v>437.62</v>
      </c>
      <c r="D134" s="135">
        <v>209.23999999999998</v>
      </c>
      <c r="E134" s="132">
        <v>217.82</v>
      </c>
      <c r="F134" s="132">
        <v>268.15000000000003</v>
      </c>
      <c r="G134" s="126">
        <v>156.89000000000001</v>
      </c>
      <c r="H134" s="127">
        <v>156.4</v>
      </c>
      <c r="I134" s="132">
        <v>203.13000000000002</v>
      </c>
      <c r="J134" s="127">
        <v>222.96</v>
      </c>
      <c r="K134" s="127">
        <v>235.91</v>
      </c>
      <c r="L134" s="132">
        <v>211.63</v>
      </c>
      <c r="M134" s="127">
        <v>109.15</v>
      </c>
      <c r="N134" s="135"/>
      <c r="O134" s="126">
        <v>127.86000000000001</v>
      </c>
      <c r="P134" s="132"/>
      <c r="Q134" s="128">
        <v>137.04</v>
      </c>
      <c r="R134" s="170">
        <v>179.3</v>
      </c>
      <c r="S134" s="145"/>
      <c r="T134" s="135"/>
      <c r="U134" s="145"/>
      <c r="V134" s="135"/>
      <c r="W134" s="145"/>
      <c r="X134" s="135"/>
      <c r="Y134" s="145"/>
      <c r="Z134" s="135">
        <v>132.74</v>
      </c>
      <c r="AA134" s="135">
        <v>132.66</v>
      </c>
      <c r="AB134" s="135">
        <v>110.05</v>
      </c>
      <c r="AC134" s="135"/>
      <c r="AD134" s="135"/>
      <c r="AE134" s="135"/>
      <c r="AF134" s="135"/>
      <c r="AG134" s="135">
        <v>95.02000000000001</v>
      </c>
      <c r="AH134" s="132"/>
      <c r="AI134" s="132"/>
      <c r="AJ134" s="132">
        <v>112.24000000000001</v>
      </c>
      <c r="AK134" s="132"/>
      <c r="AL134" s="138"/>
    </row>
    <row r="135" spans="1:38" x14ac:dyDescent="0.35">
      <c r="A135" s="159">
        <v>36326</v>
      </c>
      <c r="B135" s="132">
        <v>460.47</v>
      </c>
      <c r="C135" s="135">
        <v>437.56</v>
      </c>
      <c r="D135" s="135">
        <v>209.82</v>
      </c>
      <c r="E135" s="132">
        <v>217.64999999999998</v>
      </c>
      <c r="F135" s="132">
        <v>268.10000000000002</v>
      </c>
      <c r="G135" s="126">
        <v>156.60000000000002</v>
      </c>
      <c r="H135" s="127">
        <v>157.18</v>
      </c>
      <c r="I135" s="132">
        <v>200.5</v>
      </c>
      <c r="J135" s="127">
        <v>222.95000000000002</v>
      </c>
      <c r="K135" s="127">
        <v>235.84</v>
      </c>
      <c r="L135" s="132">
        <v>211.49</v>
      </c>
      <c r="M135" s="127">
        <v>109.11000000000001</v>
      </c>
      <c r="N135" s="135"/>
      <c r="O135" s="126">
        <v>127.34</v>
      </c>
      <c r="P135" s="132"/>
      <c r="Q135" s="128">
        <v>136.07999999999998</v>
      </c>
      <c r="R135" s="170">
        <v>179.3</v>
      </c>
      <c r="S135" s="145"/>
      <c r="T135" s="135"/>
      <c r="U135" s="145"/>
      <c r="V135" s="135"/>
      <c r="W135" s="145"/>
      <c r="X135" s="135"/>
      <c r="Y135" s="145"/>
      <c r="Z135" s="135">
        <v>131.54</v>
      </c>
      <c r="AA135" s="135">
        <v>131.5</v>
      </c>
      <c r="AB135" s="135">
        <v>107.85</v>
      </c>
      <c r="AC135" s="135"/>
      <c r="AD135" s="135"/>
      <c r="AE135" s="135"/>
      <c r="AF135" s="135"/>
      <c r="AG135" s="135">
        <v>93.9</v>
      </c>
      <c r="AH135" s="132"/>
      <c r="AI135" s="132"/>
      <c r="AJ135" s="132">
        <v>110.72</v>
      </c>
      <c r="AK135" s="132"/>
      <c r="AL135" s="138"/>
    </row>
    <row r="136" spans="1:38" x14ac:dyDescent="0.35">
      <c r="A136" s="159">
        <v>36356</v>
      </c>
      <c r="B136" s="132">
        <v>460.56</v>
      </c>
      <c r="C136" s="135">
        <v>437.68</v>
      </c>
      <c r="D136" s="135">
        <v>209.62</v>
      </c>
      <c r="E136" s="132">
        <v>217.72</v>
      </c>
      <c r="F136" s="132">
        <v>268.98</v>
      </c>
      <c r="G136" s="126">
        <v>155.19</v>
      </c>
      <c r="H136" s="127">
        <v>155.29000000000002</v>
      </c>
      <c r="I136" s="132">
        <v>200.5</v>
      </c>
      <c r="J136" s="127">
        <v>222.83</v>
      </c>
      <c r="K136" s="127">
        <v>234.39000000000001</v>
      </c>
      <c r="L136" s="132">
        <v>211.46</v>
      </c>
      <c r="M136" s="127">
        <v>108.95000000000002</v>
      </c>
      <c r="N136" s="135"/>
      <c r="O136" s="126">
        <v>126.79</v>
      </c>
      <c r="P136" s="132"/>
      <c r="Q136" s="128">
        <v>135.13999999999999</v>
      </c>
      <c r="R136" s="170">
        <v>179.3</v>
      </c>
      <c r="S136" s="145"/>
      <c r="T136" s="137"/>
      <c r="U136" s="145"/>
      <c r="V136" s="137"/>
      <c r="W136" s="145"/>
      <c r="X136" s="145"/>
      <c r="Y136" s="145"/>
      <c r="Z136" s="135">
        <v>131.47999999999999</v>
      </c>
      <c r="AA136" s="135">
        <v>131.4</v>
      </c>
      <c r="AB136" s="135">
        <v>107.66</v>
      </c>
      <c r="AC136" s="135"/>
      <c r="AD136" s="135"/>
      <c r="AE136" s="135"/>
      <c r="AF136" s="135"/>
      <c r="AG136" s="135">
        <v>93.82</v>
      </c>
      <c r="AH136" s="132"/>
      <c r="AI136" s="132"/>
      <c r="AJ136" s="132">
        <v>110.32</v>
      </c>
      <c r="AK136" s="132"/>
      <c r="AL136" s="138"/>
    </row>
    <row r="137" spans="1:38" x14ac:dyDescent="0.35">
      <c r="A137" s="159">
        <v>36387</v>
      </c>
      <c r="B137" s="132">
        <v>460.54</v>
      </c>
      <c r="C137" s="135">
        <v>437.56</v>
      </c>
      <c r="D137" s="135">
        <v>208.82</v>
      </c>
      <c r="E137" s="132">
        <v>217.35</v>
      </c>
      <c r="F137" s="132">
        <v>266.12</v>
      </c>
      <c r="G137" s="126">
        <v>155.06</v>
      </c>
      <c r="H137" s="127">
        <v>155.27000000000001</v>
      </c>
      <c r="I137" s="132">
        <v>200.5</v>
      </c>
      <c r="J137" s="127">
        <v>222.8</v>
      </c>
      <c r="K137" s="127">
        <v>234.4</v>
      </c>
      <c r="L137" s="132">
        <v>211.46</v>
      </c>
      <c r="M137" s="127">
        <v>109.19000000000001</v>
      </c>
      <c r="N137" s="137"/>
      <c r="O137" s="126">
        <v>126.4</v>
      </c>
      <c r="P137" s="137"/>
      <c r="Q137" s="128">
        <v>134.26</v>
      </c>
      <c r="R137" s="170">
        <v>179.3</v>
      </c>
      <c r="S137" s="145"/>
      <c r="T137" s="137"/>
      <c r="U137" s="145"/>
      <c r="V137" s="137"/>
      <c r="W137" s="145"/>
      <c r="X137" s="145"/>
      <c r="Y137" s="145"/>
      <c r="Z137" s="135">
        <v>132.80000000000001</v>
      </c>
      <c r="AA137" s="135">
        <v>132.74</v>
      </c>
      <c r="AB137" s="135">
        <v>108.88</v>
      </c>
      <c r="AC137" s="135"/>
      <c r="AD137" s="135"/>
      <c r="AE137" s="135"/>
      <c r="AF137" s="135"/>
      <c r="AG137" s="135">
        <v>95.13</v>
      </c>
      <c r="AH137" s="132"/>
      <c r="AI137" s="132"/>
      <c r="AJ137" s="132">
        <v>111.3</v>
      </c>
      <c r="AK137" s="132"/>
      <c r="AL137" s="138"/>
    </row>
    <row r="138" spans="1:38" x14ac:dyDescent="0.35">
      <c r="A138" s="159">
        <v>36418</v>
      </c>
      <c r="B138" s="132">
        <v>460.52</v>
      </c>
      <c r="C138" s="156">
        <v>437.6</v>
      </c>
      <c r="D138" s="135">
        <v>208.72</v>
      </c>
      <c r="E138" s="132">
        <v>217.28</v>
      </c>
      <c r="F138" s="132">
        <v>266.04000000000002</v>
      </c>
      <c r="G138" s="126">
        <v>155.08000000000001</v>
      </c>
      <c r="H138" s="127">
        <v>155.22000000000003</v>
      </c>
      <c r="I138" s="132">
        <v>200.5</v>
      </c>
      <c r="J138" s="127">
        <v>222.61</v>
      </c>
      <c r="K138" s="127">
        <v>234.36</v>
      </c>
      <c r="L138" s="132">
        <v>211.26000000000002</v>
      </c>
      <c r="M138" s="127">
        <v>109.11000000000001</v>
      </c>
      <c r="N138" s="161"/>
      <c r="O138" s="126">
        <v>126.37</v>
      </c>
      <c r="P138" s="161"/>
      <c r="Q138" s="157">
        <v>134.19999999999999</v>
      </c>
      <c r="R138" s="170">
        <v>179.3</v>
      </c>
      <c r="S138" s="161"/>
      <c r="T138" s="161"/>
      <c r="U138" s="161"/>
      <c r="V138" s="161"/>
      <c r="W138" s="161"/>
      <c r="X138" s="161"/>
      <c r="Y138" s="161"/>
      <c r="Z138" s="156">
        <v>132.30000000000001</v>
      </c>
      <c r="AA138" s="156">
        <v>130.36000000000001</v>
      </c>
      <c r="AB138" s="156">
        <v>108.55</v>
      </c>
      <c r="AC138" s="156"/>
      <c r="AD138" s="156"/>
      <c r="AE138" s="156"/>
      <c r="AF138" s="156"/>
      <c r="AG138" s="156">
        <v>94.68</v>
      </c>
      <c r="AH138" s="156"/>
      <c r="AI138" s="156"/>
      <c r="AJ138" s="156">
        <v>110.61</v>
      </c>
      <c r="AK138" s="156"/>
      <c r="AL138" s="160"/>
    </row>
    <row r="139" spans="1:38" x14ac:dyDescent="0.35">
      <c r="A139" s="155">
        <v>36463</v>
      </c>
      <c r="B139" s="132">
        <v>460.18</v>
      </c>
      <c r="C139" s="158">
        <v>437.9</v>
      </c>
      <c r="D139" s="135">
        <v>208.2</v>
      </c>
      <c r="E139" s="132">
        <v>216.84</v>
      </c>
      <c r="F139" s="132">
        <v>267.52000000000004</v>
      </c>
      <c r="G139" s="126">
        <v>154.5</v>
      </c>
      <c r="H139" s="127">
        <v>154.62</v>
      </c>
      <c r="I139" s="132">
        <v>200.5</v>
      </c>
      <c r="J139" s="127">
        <v>222.51000000000002</v>
      </c>
      <c r="K139" s="127">
        <v>232.43</v>
      </c>
      <c r="L139" s="132">
        <v>211.16</v>
      </c>
      <c r="M139" s="127">
        <v>109.21000000000001</v>
      </c>
      <c r="N139" s="164"/>
      <c r="O139" s="126">
        <v>125.67000000000002</v>
      </c>
      <c r="P139" s="170">
        <v>152.6</v>
      </c>
      <c r="Q139" s="163">
        <v>132.71999999999997</v>
      </c>
      <c r="R139" s="170">
        <v>179.3</v>
      </c>
      <c r="S139" s="145"/>
      <c r="T139" s="164"/>
      <c r="U139" s="137"/>
      <c r="V139" s="164"/>
      <c r="W139" s="137"/>
      <c r="X139" s="164"/>
      <c r="Y139" s="137"/>
      <c r="Z139" s="164">
        <v>132.25</v>
      </c>
      <c r="AA139" s="164">
        <v>132.17000000000002</v>
      </c>
      <c r="AB139" s="164">
        <v>108.18</v>
      </c>
      <c r="AC139" s="164"/>
      <c r="AD139" s="164"/>
      <c r="AE139" s="164"/>
      <c r="AF139" s="164"/>
      <c r="AG139" s="158">
        <v>94.53</v>
      </c>
      <c r="AH139" s="164"/>
      <c r="AI139" s="164"/>
      <c r="AJ139" s="164">
        <v>110.03999999999999</v>
      </c>
      <c r="AK139" s="164"/>
      <c r="AL139" s="162"/>
    </row>
    <row r="140" spans="1:38" x14ac:dyDescent="0.35">
      <c r="A140" s="155">
        <v>36479</v>
      </c>
      <c r="B140" s="132">
        <v>460.08</v>
      </c>
      <c r="C140" s="135">
        <v>437.6</v>
      </c>
      <c r="D140" s="135">
        <v>208.14</v>
      </c>
      <c r="E140" s="132">
        <v>216.72</v>
      </c>
      <c r="F140" s="132">
        <v>267.44</v>
      </c>
      <c r="G140" s="126">
        <v>154.94</v>
      </c>
      <c r="H140" s="127">
        <v>154.72000000000003</v>
      </c>
      <c r="I140" s="132">
        <v>212.31</v>
      </c>
      <c r="J140" s="127">
        <v>222.18</v>
      </c>
      <c r="K140" s="127">
        <v>231.98000000000002</v>
      </c>
      <c r="L140" s="132">
        <v>211.47</v>
      </c>
      <c r="M140" s="127">
        <v>109.19000000000001</v>
      </c>
      <c r="N140" s="145"/>
      <c r="O140" s="126">
        <v>125.05000000000001</v>
      </c>
      <c r="P140" s="170">
        <v>152.6</v>
      </c>
      <c r="Q140" s="128">
        <v>131.94</v>
      </c>
      <c r="R140" s="170">
        <v>179.3</v>
      </c>
      <c r="S140" s="145"/>
      <c r="T140" s="145"/>
      <c r="U140" s="137"/>
      <c r="V140" s="145"/>
      <c r="W140" s="137"/>
      <c r="X140" s="145"/>
      <c r="Y140" s="137"/>
      <c r="Z140" s="145">
        <v>132.19999999999999</v>
      </c>
      <c r="AA140" s="145">
        <v>132.15</v>
      </c>
      <c r="AB140" s="145">
        <v>108.03999999999999</v>
      </c>
      <c r="AC140" s="145"/>
      <c r="AD140" s="145"/>
      <c r="AE140" s="145"/>
      <c r="AF140" s="145"/>
      <c r="AG140" s="145">
        <v>94.460000000000008</v>
      </c>
      <c r="AH140" s="145"/>
      <c r="AI140" s="145"/>
      <c r="AJ140" s="145">
        <v>109.66</v>
      </c>
      <c r="AK140" s="145"/>
      <c r="AL140" s="138"/>
    </row>
    <row r="141" spans="1:38" x14ac:dyDescent="0.35">
      <c r="A141" s="155">
        <v>36509</v>
      </c>
      <c r="B141" s="132">
        <v>460.1</v>
      </c>
      <c r="C141" s="135">
        <v>437.4</v>
      </c>
      <c r="D141" s="135">
        <v>208.04</v>
      </c>
      <c r="E141" s="132">
        <v>216.6</v>
      </c>
      <c r="F141" s="132">
        <v>267.46000000000004</v>
      </c>
      <c r="G141" s="126">
        <v>154.68</v>
      </c>
      <c r="H141" s="127">
        <v>154.72000000000003</v>
      </c>
      <c r="I141" s="132">
        <v>200.5</v>
      </c>
      <c r="J141" s="127">
        <v>224.09</v>
      </c>
      <c r="K141" s="127">
        <v>231.96</v>
      </c>
      <c r="L141" s="132">
        <v>211.36</v>
      </c>
      <c r="M141" s="127">
        <v>109.21000000000001</v>
      </c>
      <c r="N141" s="145"/>
      <c r="O141" s="126">
        <v>124.99000000000001</v>
      </c>
      <c r="P141" s="170">
        <v>152.6</v>
      </c>
      <c r="Q141" s="128">
        <v>131.91999999999999</v>
      </c>
      <c r="R141" s="170">
        <v>179.3</v>
      </c>
      <c r="S141" s="145"/>
      <c r="T141" s="145"/>
      <c r="U141" s="137"/>
      <c r="V141" s="145"/>
      <c r="W141" s="137"/>
      <c r="X141" s="145"/>
      <c r="Y141" s="137"/>
      <c r="Z141" s="145">
        <v>132.16</v>
      </c>
      <c r="AA141" s="145">
        <v>132.1</v>
      </c>
      <c r="AB141" s="145">
        <v>107.98</v>
      </c>
      <c r="AC141" s="145"/>
      <c r="AD141" s="145"/>
      <c r="AE141" s="145"/>
      <c r="AF141" s="145"/>
      <c r="AG141" s="145">
        <v>94.44</v>
      </c>
      <c r="AH141" s="145"/>
      <c r="AI141" s="145"/>
      <c r="AJ141" s="145">
        <v>109.39</v>
      </c>
      <c r="AK141" s="145"/>
      <c r="AL141" s="138"/>
    </row>
    <row r="142" spans="1:38" x14ac:dyDescent="0.35">
      <c r="A142" s="155">
        <v>36540</v>
      </c>
      <c r="B142" s="132">
        <v>460.2</v>
      </c>
      <c r="C142" s="135">
        <v>437.3</v>
      </c>
      <c r="D142" s="135">
        <v>207.48999999999998</v>
      </c>
      <c r="E142" s="132">
        <v>216.10999999999999</v>
      </c>
      <c r="F142" s="132">
        <v>263.21000000000004</v>
      </c>
      <c r="G142" s="126">
        <v>154.4</v>
      </c>
      <c r="H142" s="127">
        <v>154.67000000000002</v>
      </c>
      <c r="I142" s="132">
        <v>200.5</v>
      </c>
      <c r="J142" s="127">
        <v>222.37</v>
      </c>
      <c r="K142" s="127">
        <v>231.52</v>
      </c>
      <c r="L142" s="132">
        <v>211.06</v>
      </c>
      <c r="M142" s="127">
        <v>109.24000000000001</v>
      </c>
      <c r="N142" s="145"/>
      <c r="O142" s="126">
        <v>124.18</v>
      </c>
      <c r="P142" s="132">
        <v>153.65</v>
      </c>
      <c r="Q142" s="128">
        <v>129.73999999999998</v>
      </c>
      <c r="R142" s="170">
        <v>179.3</v>
      </c>
      <c r="S142" s="145"/>
      <c r="T142" s="145"/>
      <c r="U142" s="137"/>
      <c r="V142" s="145"/>
      <c r="W142" s="137"/>
      <c r="X142" s="145"/>
      <c r="Y142" s="137"/>
      <c r="Z142" s="145">
        <v>132.07</v>
      </c>
      <c r="AA142" s="145">
        <v>132.02000000000001</v>
      </c>
      <c r="AB142" s="145">
        <v>107.7</v>
      </c>
      <c r="AC142" s="145"/>
      <c r="AD142" s="145"/>
      <c r="AE142" s="145"/>
      <c r="AF142" s="145"/>
      <c r="AG142" s="145">
        <v>94.38</v>
      </c>
      <c r="AH142" s="145"/>
      <c r="AI142" s="145"/>
      <c r="AJ142" s="145">
        <v>108.96000000000001</v>
      </c>
      <c r="AK142" s="145"/>
      <c r="AL142" s="138"/>
    </row>
    <row r="143" spans="1:38" x14ac:dyDescent="0.35">
      <c r="A143" s="155">
        <v>36571</v>
      </c>
      <c r="B143" s="135"/>
      <c r="C143" s="135"/>
      <c r="D143" s="135"/>
      <c r="E143" s="132"/>
      <c r="F143" s="132"/>
      <c r="G143" s="126"/>
      <c r="H143" s="127"/>
      <c r="I143" s="135"/>
      <c r="J143" s="127"/>
      <c r="K143" s="127"/>
      <c r="L143" s="132"/>
      <c r="M143" s="127">
        <v>109.37</v>
      </c>
      <c r="N143" s="135">
        <v>151.18</v>
      </c>
      <c r="O143" s="126">
        <v>123.78</v>
      </c>
      <c r="P143" s="170">
        <v>152.6</v>
      </c>
      <c r="Q143" s="128">
        <v>131.59999999999997</v>
      </c>
      <c r="R143" s="170">
        <v>179.3</v>
      </c>
      <c r="S143" s="145"/>
      <c r="T143" s="145"/>
      <c r="U143" s="137"/>
      <c r="V143" s="145"/>
      <c r="W143" s="137"/>
      <c r="X143" s="145"/>
      <c r="Y143" s="137"/>
      <c r="Z143" s="145">
        <v>131.05000000000001</v>
      </c>
      <c r="AA143" s="145">
        <v>131.97999999999999</v>
      </c>
      <c r="AB143" s="145">
        <v>107.52</v>
      </c>
      <c r="AC143" s="145"/>
      <c r="AD143" s="145"/>
      <c r="AE143" s="145"/>
      <c r="AF143" s="145"/>
      <c r="AG143" s="145">
        <v>94.289999999999992</v>
      </c>
      <c r="AH143" s="145"/>
      <c r="AI143" s="145"/>
      <c r="AJ143" s="145">
        <v>108.68</v>
      </c>
      <c r="AK143" s="145"/>
      <c r="AL143" s="138"/>
    </row>
    <row r="144" spans="1:38" x14ac:dyDescent="0.35">
      <c r="A144" s="155">
        <v>36600</v>
      </c>
      <c r="B144" s="135">
        <v>460.02</v>
      </c>
      <c r="C144" s="135">
        <v>437.58</v>
      </c>
      <c r="D144" s="135">
        <v>208.23999999999998</v>
      </c>
      <c r="E144" s="132">
        <v>217.29</v>
      </c>
      <c r="F144" s="132">
        <v>267.5</v>
      </c>
      <c r="G144" s="126">
        <v>167.05</v>
      </c>
      <c r="H144" s="127">
        <v>161.18</v>
      </c>
      <c r="I144" s="132">
        <v>200.5</v>
      </c>
      <c r="J144" s="127">
        <v>224.11</v>
      </c>
      <c r="K144" s="127">
        <v>237.34</v>
      </c>
      <c r="L144" s="132">
        <v>212.85000000000002</v>
      </c>
      <c r="M144" s="127">
        <v>109.84</v>
      </c>
      <c r="N144" s="145"/>
      <c r="O144" s="126">
        <v>124.21000000000001</v>
      </c>
      <c r="P144" s="170">
        <v>152.6</v>
      </c>
      <c r="Q144" s="128">
        <v>133.79999999999998</v>
      </c>
      <c r="R144" s="170">
        <v>179.3</v>
      </c>
      <c r="S144" s="145"/>
      <c r="T144" s="145"/>
      <c r="U144" s="137"/>
      <c r="V144" s="145"/>
      <c r="W144" s="137"/>
      <c r="X144" s="145"/>
      <c r="Y144" s="137"/>
      <c r="Z144" s="145">
        <v>137.91</v>
      </c>
      <c r="AA144" s="145">
        <v>137.88999999999999</v>
      </c>
      <c r="AB144" s="145">
        <v>107.4</v>
      </c>
      <c r="AC144" s="145"/>
      <c r="AD144" s="145"/>
      <c r="AE144" s="145"/>
      <c r="AF144" s="145"/>
      <c r="AG144" s="145">
        <v>94.3</v>
      </c>
      <c r="AH144" s="145"/>
      <c r="AI144" s="145"/>
      <c r="AJ144" s="145">
        <v>108.93</v>
      </c>
      <c r="AK144" s="145"/>
      <c r="AL144" s="138"/>
    </row>
    <row r="145" spans="1:38" x14ac:dyDescent="0.35">
      <c r="A145" s="155">
        <v>36631</v>
      </c>
      <c r="B145" s="135">
        <v>459.8</v>
      </c>
      <c r="C145" s="135">
        <v>437.6</v>
      </c>
      <c r="D145" s="135">
        <v>208.7</v>
      </c>
      <c r="E145" s="132">
        <v>217.49</v>
      </c>
      <c r="F145" s="132">
        <v>267.40000000000003</v>
      </c>
      <c r="G145" s="126">
        <v>165.95000000000002</v>
      </c>
      <c r="H145" s="127">
        <v>158.78</v>
      </c>
      <c r="I145" s="132">
        <v>211.60000000000002</v>
      </c>
      <c r="J145" s="127">
        <v>224.25</v>
      </c>
      <c r="K145" s="127">
        <v>238.59</v>
      </c>
      <c r="L145" s="132">
        <v>212.71</v>
      </c>
      <c r="M145" s="127">
        <v>109.76000000000002</v>
      </c>
      <c r="N145" s="145"/>
      <c r="O145" s="126">
        <v>125</v>
      </c>
      <c r="P145" s="170">
        <v>152.6</v>
      </c>
      <c r="Q145" s="128">
        <v>136.02999999999997</v>
      </c>
      <c r="R145" s="170">
        <v>179.3</v>
      </c>
      <c r="S145" s="145"/>
      <c r="T145" s="145"/>
      <c r="U145" s="137"/>
      <c r="V145" s="145"/>
      <c r="W145" s="137"/>
      <c r="X145" s="145"/>
      <c r="Y145" s="137"/>
      <c r="Z145" s="145">
        <v>133.66</v>
      </c>
      <c r="AA145" s="145">
        <v>133.62</v>
      </c>
      <c r="AB145" s="145">
        <v>107.21000000000001</v>
      </c>
      <c r="AC145" s="145"/>
      <c r="AD145" s="145"/>
      <c r="AE145" s="145"/>
      <c r="AF145" s="145"/>
      <c r="AG145" s="145">
        <v>94.33</v>
      </c>
      <c r="AH145" s="145"/>
      <c r="AI145" s="145"/>
      <c r="AJ145" s="145">
        <v>109.21000000000001</v>
      </c>
      <c r="AK145" s="145"/>
      <c r="AL145" s="138"/>
    </row>
    <row r="146" spans="1:38" x14ac:dyDescent="0.35">
      <c r="A146" s="155">
        <v>36661</v>
      </c>
      <c r="B146" s="135">
        <v>460.2</v>
      </c>
      <c r="C146" s="135">
        <v>437.7</v>
      </c>
      <c r="D146" s="135">
        <v>208.73999999999998</v>
      </c>
      <c r="E146" s="132">
        <v>217.42</v>
      </c>
      <c r="F146" s="132">
        <v>268.46000000000004</v>
      </c>
      <c r="G146" s="126">
        <v>160</v>
      </c>
      <c r="H146" s="127">
        <v>158.12</v>
      </c>
      <c r="I146" s="132">
        <v>202.5</v>
      </c>
      <c r="J146" s="127">
        <v>224.11</v>
      </c>
      <c r="K146" s="127">
        <v>237.84</v>
      </c>
      <c r="L146" s="132">
        <v>212.56</v>
      </c>
      <c r="M146" s="127">
        <v>109.54000000000002</v>
      </c>
      <c r="N146" s="145"/>
      <c r="O146" s="126">
        <v>125.61000000000001</v>
      </c>
      <c r="P146" s="170">
        <v>152.6</v>
      </c>
      <c r="Q146" s="128">
        <v>137.76</v>
      </c>
      <c r="R146" s="170">
        <v>179.3</v>
      </c>
      <c r="S146" s="145"/>
      <c r="T146" s="145"/>
      <c r="U146" s="137"/>
      <c r="V146" s="145"/>
      <c r="W146" s="137"/>
      <c r="X146" s="145"/>
      <c r="Y146" s="137"/>
      <c r="Z146" s="145">
        <v>132.75</v>
      </c>
      <c r="AA146" s="145">
        <v>132.68</v>
      </c>
      <c r="AB146" s="145">
        <v>107.97</v>
      </c>
      <c r="AC146" s="145"/>
      <c r="AD146" s="145"/>
      <c r="AE146" s="145"/>
      <c r="AF146" s="145"/>
      <c r="AG146" s="145">
        <v>94.22999999999999</v>
      </c>
      <c r="AH146" s="145"/>
      <c r="AI146" s="145"/>
      <c r="AJ146" s="145">
        <v>109.43</v>
      </c>
      <c r="AK146" s="145"/>
      <c r="AL146" s="138"/>
    </row>
    <row r="147" spans="1:38" x14ac:dyDescent="0.35">
      <c r="A147" s="155">
        <v>36692</v>
      </c>
      <c r="B147" s="135">
        <v>460.2</v>
      </c>
      <c r="C147" s="135">
        <v>437.2</v>
      </c>
      <c r="D147" s="135">
        <v>208.73999999999998</v>
      </c>
      <c r="E147" s="132">
        <v>217.51999999999998</v>
      </c>
      <c r="F147" s="132">
        <v>267.86</v>
      </c>
      <c r="G147" s="126">
        <v>157.60000000000002</v>
      </c>
      <c r="H147" s="127">
        <v>156.62</v>
      </c>
      <c r="I147" s="132">
        <v>200.5</v>
      </c>
      <c r="J147" s="127">
        <v>223.61</v>
      </c>
      <c r="K147" s="127">
        <v>237.64000000000001</v>
      </c>
      <c r="L147" s="132">
        <v>212.16</v>
      </c>
      <c r="M147" s="127">
        <v>109.75000000000001</v>
      </c>
      <c r="N147" s="145"/>
      <c r="O147" s="126">
        <v>125.99000000000001</v>
      </c>
      <c r="P147" s="170">
        <v>152.6</v>
      </c>
      <c r="Q147" s="128">
        <v>138.44</v>
      </c>
      <c r="R147" s="170">
        <v>179.3</v>
      </c>
      <c r="S147" s="145"/>
      <c r="T147" s="145"/>
      <c r="U147" s="137"/>
      <c r="V147" s="145"/>
      <c r="W147" s="137"/>
      <c r="X147" s="145"/>
      <c r="Y147" s="137"/>
      <c r="Z147" s="145">
        <v>132.24</v>
      </c>
      <c r="AA147" s="145">
        <v>132.19999999999999</v>
      </c>
      <c r="AB147" s="145">
        <v>107.1</v>
      </c>
      <c r="AC147" s="145"/>
      <c r="AD147" s="145"/>
      <c r="AE147" s="145"/>
      <c r="AF147" s="145"/>
      <c r="AG147" s="145">
        <v>94.1</v>
      </c>
      <c r="AH147" s="145"/>
      <c r="AI147" s="145"/>
      <c r="AJ147" s="145">
        <v>109.75999999999999</v>
      </c>
      <c r="AK147" s="145"/>
      <c r="AL147" s="138"/>
    </row>
    <row r="148" spans="1:38" x14ac:dyDescent="0.35">
      <c r="A148" s="155">
        <v>36722</v>
      </c>
      <c r="B148" s="135">
        <v>462</v>
      </c>
      <c r="C148" s="135">
        <v>437.4</v>
      </c>
      <c r="D148" s="135">
        <v>209.04</v>
      </c>
      <c r="E148" s="132">
        <v>217.42</v>
      </c>
      <c r="F148" s="132">
        <v>266.56</v>
      </c>
      <c r="G148" s="126">
        <v>157.9</v>
      </c>
      <c r="H148" s="127">
        <v>156.02000000000001</v>
      </c>
      <c r="I148" s="132">
        <v>200.5</v>
      </c>
      <c r="J148" s="127">
        <v>223.31</v>
      </c>
      <c r="K148" s="127">
        <v>238.74</v>
      </c>
      <c r="L148" s="132">
        <v>212.06</v>
      </c>
      <c r="M148" s="127">
        <v>109.75000000000001</v>
      </c>
      <c r="N148" s="145"/>
      <c r="O148" s="126">
        <v>126.09</v>
      </c>
      <c r="P148" s="170">
        <v>152.6</v>
      </c>
      <c r="Q148" s="128">
        <v>138.13999999999999</v>
      </c>
      <c r="R148" s="170">
        <v>179.3</v>
      </c>
      <c r="S148" s="166"/>
      <c r="T148" s="145"/>
      <c r="U148" s="137"/>
      <c r="V148" s="145"/>
      <c r="W148" s="137"/>
      <c r="X148" s="145"/>
      <c r="Y148" s="137"/>
      <c r="Z148" s="145">
        <v>131.06</v>
      </c>
      <c r="AA148" s="145">
        <v>131.04</v>
      </c>
      <c r="AB148" s="145">
        <v>105.94</v>
      </c>
      <c r="AC148" s="145"/>
      <c r="AD148" s="145"/>
      <c r="AE148" s="145"/>
      <c r="AF148" s="145"/>
      <c r="AG148" s="145">
        <v>93.259999999999991</v>
      </c>
      <c r="AH148" s="145"/>
      <c r="AI148" s="145"/>
      <c r="AJ148" s="145">
        <v>108.8</v>
      </c>
      <c r="AK148" s="145"/>
      <c r="AL148" s="138"/>
    </row>
    <row r="149" spans="1:38" x14ac:dyDescent="0.35">
      <c r="A149" s="155">
        <v>36753</v>
      </c>
      <c r="B149" s="135">
        <v>460</v>
      </c>
      <c r="C149" s="135"/>
      <c r="D149" s="135">
        <v>208.34</v>
      </c>
      <c r="E149" s="132">
        <v>217.12</v>
      </c>
      <c r="F149" s="132">
        <v>265.36</v>
      </c>
      <c r="G149" s="126">
        <v>156.10000000000002</v>
      </c>
      <c r="H149" s="127">
        <v>155.62</v>
      </c>
      <c r="I149" s="132">
        <v>200.5</v>
      </c>
      <c r="J149" s="127">
        <v>223.21</v>
      </c>
      <c r="K149" s="127">
        <v>238.34</v>
      </c>
      <c r="L149" s="132">
        <v>211.96</v>
      </c>
      <c r="M149" s="127">
        <v>109.43</v>
      </c>
      <c r="N149" s="145"/>
      <c r="O149" s="126">
        <v>126.23000000000002</v>
      </c>
      <c r="P149" s="170">
        <v>152.6</v>
      </c>
      <c r="Q149" s="128">
        <v>137.32999999999998</v>
      </c>
      <c r="R149" s="170">
        <v>179.3</v>
      </c>
      <c r="S149" s="166"/>
      <c r="T149" s="145"/>
      <c r="U149" s="137"/>
      <c r="V149" s="145"/>
      <c r="W149" s="137"/>
      <c r="X149" s="145"/>
      <c r="Y149" s="137"/>
      <c r="Z149" s="145">
        <v>131.87</v>
      </c>
      <c r="AA149" s="145">
        <v>131.87</v>
      </c>
      <c r="AB149" s="145">
        <v>106.62</v>
      </c>
      <c r="AC149" s="145"/>
      <c r="AD149" s="145"/>
      <c r="AE149" s="145"/>
      <c r="AF149" s="145"/>
      <c r="AG149" s="145">
        <v>94.12</v>
      </c>
      <c r="AH149" s="145"/>
      <c r="AI149" s="145"/>
      <c r="AJ149" s="145">
        <v>109.78</v>
      </c>
      <c r="AK149" s="145"/>
      <c r="AL149" s="138"/>
    </row>
    <row r="150" spans="1:38" x14ac:dyDescent="0.35">
      <c r="A150" s="165">
        <v>36784</v>
      </c>
      <c r="B150" s="135">
        <v>460</v>
      </c>
      <c r="C150" s="135">
        <v>436.54</v>
      </c>
      <c r="D150" s="135">
        <v>208.23999999999998</v>
      </c>
      <c r="E150" s="132">
        <v>217.22</v>
      </c>
      <c r="F150" s="132">
        <v>270.26</v>
      </c>
      <c r="G150" s="126">
        <v>155.80000000000001</v>
      </c>
      <c r="H150" s="127">
        <v>155.42000000000002</v>
      </c>
      <c r="I150" s="132">
        <v>212.70000000000002</v>
      </c>
      <c r="J150" s="127">
        <v>223.11</v>
      </c>
      <c r="K150" s="127">
        <v>237.24</v>
      </c>
      <c r="L150" s="132">
        <v>211.96</v>
      </c>
      <c r="M150" s="127">
        <v>109.45000000000002</v>
      </c>
      <c r="N150" s="145"/>
      <c r="O150" s="126">
        <v>126.09</v>
      </c>
      <c r="P150" s="170">
        <v>152.6</v>
      </c>
      <c r="Q150" s="128">
        <v>137.63999999999999</v>
      </c>
      <c r="R150" s="170">
        <v>179.3</v>
      </c>
      <c r="S150" s="166"/>
      <c r="T150" s="145"/>
      <c r="U150" s="137"/>
      <c r="V150" s="145"/>
      <c r="W150" s="137"/>
      <c r="X150" s="145"/>
      <c r="Y150" s="137"/>
      <c r="Z150" s="145">
        <v>131.79</v>
      </c>
      <c r="AA150" s="145">
        <v>131.72</v>
      </c>
      <c r="AB150" s="145">
        <v>106.6</v>
      </c>
      <c r="AC150" s="145"/>
      <c r="AD150" s="145"/>
      <c r="AE150" s="145"/>
      <c r="AF150" s="145"/>
      <c r="AG150" s="145">
        <v>94.039999999999992</v>
      </c>
      <c r="AH150" s="145"/>
      <c r="AI150" s="145"/>
      <c r="AJ150" s="145">
        <v>109.81</v>
      </c>
      <c r="AK150" s="145"/>
      <c r="AL150" s="138"/>
    </row>
    <row r="151" spans="1:38" x14ac:dyDescent="0.35">
      <c r="A151" s="165">
        <v>36814</v>
      </c>
      <c r="B151" s="135">
        <v>460</v>
      </c>
      <c r="C151" s="178"/>
      <c r="D151" s="135">
        <v>208.04</v>
      </c>
      <c r="E151" s="132">
        <v>216.81</v>
      </c>
      <c r="F151" s="132">
        <v>264.83000000000004</v>
      </c>
      <c r="G151" s="126">
        <v>155.77000000000001</v>
      </c>
      <c r="H151" s="127">
        <v>155.99</v>
      </c>
      <c r="I151" s="132">
        <v>200.5</v>
      </c>
      <c r="J151" s="127">
        <v>223.63</v>
      </c>
      <c r="K151" s="127">
        <v>236.81</v>
      </c>
      <c r="L151" s="132">
        <v>212.43</v>
      </c>
      <c r="M151" s="127">
        <v>110.02000000000001</v>
      </c>
      <c r="N151" s="145"/>
      <c r="O151" s="126">
        <v>125.99000000000001</v>
      </c>
      <c r="P151" s="170">
        <v>152.6</v>
      </c>
      <c r="Q151" s="128">
        <v>136.60999999999999</v>
      </c>
      <c r="R151" s="170">
        <v>179.3</v>
      </c>
      <c r="S151" s="166"/>
      <c r="T151" s="145"/>
      <c r="U151" s="145"/>
      <c r="V151" s="145"/>
      <c r="W151" s="145"/>
      <c r="X151" s="145"/>
      <c r="Y151" s="145"/>
      <c r="Z151" s="145">
        <v>131.72</v>
      </c>
      <c r="AA151" s="145">
        <v>131.72</v>
      </c>
      <c r="AB151" s="145">
        <v>106.65</v>
      </c>
      <c r="AC151" s="145"/>
      <c r="AD151" s="145"/>
      <c r="AE151" s="145"/>
      <c r="AF151" s="145"/>
      <c r="AG151" s="145">
        <v>93.97</v>
      </c>
      <c r="AH151" s="145"/>
      <c r="AI151" s="145"/>
      <c r="AJ151" s="145">
        <v>109.78</v>
      </c>
      <c r="AK151" s="145"/>
      <c r="AL151" s="138"/>
    </row>
    <row r="152" spans="1:38" x14ac:dyDescent="0.35">
      <c r="A152" s="165">
        <v>36845</v>
      </c>
      <c r="B152" s="135">
        <v>460</v>
      </c>
      <c r="C152" s="178"/>
      <c r="D152" s="135">
        <v>207.73999999999998</v>
      </c>
      <c r="E152" s="132">
        <v>217.74</v>
      </c>
      <c r="F152" s="132">
        <v>265.86</v>
      </c>
      <c r="G152" s="126">
        <v>158.80000000000001</v>
      </c>
      <c r="H152" s="127">
        <v>156.99</v>
      </c>
      <c r="I152" s="132">
        <v>209.26000000000002</v>
      </c>
      <c r="J152" s="127">
        <v>222.71</v>
      </c>
      <c r="K152" s="127">
        <v>241.8</v>
      </c>
      <c r="L152" s="132">
        <v>212.4</v>
      </c>
      <c r="M152" s="127">
        <v>110.00000000000001</v>
      </c>
      <c r="N152" s="145"/>
      <c r="O152" s="126">
        <v>125.97</v>
      </c>
      <c r="P152" s="170">
        <v>152.6</v>
      </c>
      <c r="Q152" s="128">
        <v>136.63999999999999</v>
      </c>
      <c r="R152" s="170">
        <v>179.3</v>
      </c>
      <c r="S152" s="166"/>
      <c r="T152" s="145"/>
      <c r="U152" s="145"/>
      <c r="V152" s="145"/>
      <c r="W152" s="145"/>
      <c r="X152" s="145"/>
      <c r="Y152" s="145"/>
      <c r="Z152" s="145">
        <v>131.71</v>
      </c>
      <c r="AA152" s="145">
        <v>131.71</v>
      </c>
      <c r="AB152" s="145">
        <v>106.65</v>
      </c>
      <c r="AC152" s="145"/>
      <c r="AD152" s="145"/>
      <c r="AE152" s="145"/>
      <c r="AF152" s="145"/>
      <c r="AG152" s="145">
        <v>93.97</v>
      </c>
      <c r="AH152" s="145"/>
      <c r="AI152" s="145"/>
      <c r="AJ152" s="145">
        <v>109.74000000000001</v>
      </c>
      <c r="AK152" s="145"/>
      <c r="AL152" s="138"/>
    </row>
    <row r="153" spans="1:38" x14ac:dyDescent="0.35">
      <c r="A153" s="165">
        <v>36875</v>
      </c>
      <c r="B153" s="135">
        <v>459.90999999999997</v>
      </c>
      <c r="C153" s="178"/>
      <c r="D153" s="135">
        <v>208.04</v>
      </c>
      <c r="E153" s="132">
        <v>217.74</v>
      </c>
      <c r="F153" s="132">
        <v>265.83000000000004</v>
      </c>
      <c r="G153" s="126">
        <v>156.74</v>
      </c>
      <c r="H153" s="127">
        <v>156.01000000000002</v>
      </c>
      <c r="I153" s="132">
        <v>200.5</v>
      </c>
      <c r="J153" s="127">
        <v>222.70000000000002</v>
      </c>
      <c r="K153" s="127">
        <v>236.75</v>
      </c>
      <c r="L153" s="132">
        <v>212.38</v>
      </c>
      <c r="M153" s="127">
        <v>110.00000000000001</v>
      </c>
      <c r="N153" s="145"/>
      <c r="O153" s="126">
        <v>125.94000000000001</v>
      </c>
      <c r="P153" s="170">
        <v>152.6</v>
      </c>
      <c r="Q153" s="128">
        <v>135.56</v>
      </c>
      <c r="R153" s="170">
        <v>179.3</v>
      </c>
      <c r="S153" s="166"/>
      <c r="T153" s="145"/>
      <c r="U153" s="145"/>
      <c r="V153" s="145"/>
      <c r="W153" s="145"/>
      <c r="X153" s="145"/>
      <c r="Y153" s="145"/>
      <c r="Z153" s="145">
        <v>131.71</v>
      </c>
      <c r="AA153" s="145">
        <v>131.71</v>
      </c>
      <c r="AB153" s="145">
        <v>106.3</v>
      </c>
      <c r="AC153" s="145"/>
      <c r="AD153" s="145"/>
      <c r="AE153" s="145"/>
      <c r="AF153" s="145"/>
      <c r="AG153" s="145">
        <v>97.789999999999992</v>
      </c>
      <c r="AH153" s="145"/>
      <c r="AI153" s="145"/>
      <c r="AJ153" s="145">
        <v>109.50999999999999</v>
      </c>
      <c r="AK153" s="145"/>
      <c r="AL153" s="138"/>
    </row>
    <row r="154" spans="1:38" x14ac:dyDescent="0.35">
      <c r="A154" s="165">
        <v>36906</v>
      </c>
      <c r="B154" s="135">
        <v>459.4</v>
      </c>
      <c r="C154" s="178"/>
      <c r="D154" s="135">
        <v>207.73999999999998</v>
      </c>
      <c r="E154" s="132">
        <v>217.82</v>
      </c>
      <c r="F154" s="132">
        <v>268.26</v>
      </c>
      <c r="G154" s="126">
        <v>162.4</v>
      </c>
      <c r="H154" s="127">
        <v>159.82</v>
      </c>
      <c r="I154" s="132">
        <v>200.5</v>
      </c>
      <c r="J154" s="127">
        <v>223.71</v>
      </c>
      <c r="K154" s="127">
        <v>240.24</v>
      </c>
      <c r="L154" s="132">
        <v>212.06</v>
      </c>
      <c r="M154" s="127">
        <v>109.95000000000002</v>
      </c>
      <c r="N154" s="145"/>
      <c r="O154" s="126">
        <v>125.89000000000001</v>
      </c>
      <c r="P154" s="170">
        <v>152.6</v>
      </c>
      <c r="Q154" s="128">
        <v>135.04</v>
      </c>
      <c r="R154" s="170">
        <v>179.3</v>
      </c>
      <c r="S154" s="166"/>
      <c r="T154" s="145"/>
      <c r="U154" s="145"/>
      <c r="V154" s="145"/>
      <c r="W154" s="145"/>
      <c r="X154" s="145"/>
      <c r="Y154" s="145"/>
      <c r="Z154" s="145">
        <v>131.71</v>
      </c>
      <c r="AA154" s="145">
        <v>131.71</v>
      </c>
      <c r="AB154" s="145">
        <v>106.44</v>
      </c>
      <c r="AC154" s="145"/>
      <c r="AD154" s="145"/>
      <c r="AE154" s="145"/>
      <c r="AF154" s="145"/>
      <c r="AG154" s="145">
        <v>93.75</v>
      </c>
      <c r="AH154" s="145"/>
      <c r="AI154" s="145"/>
      <c r="AJ154" s="145">
        <v>109.33</v>
      </c>
      <c r="AK154" s="145"/>
      <c r="AL154" s="138"/>
    </row>
    <row r="155" spans="1:38" x14ac:dyDescent="0.35">
      <c r="A155" s="165">
        <v>36937</v>
      </c>
      <c r="B155" s="135">
        <v>460</v>
      </c>
      <c r="C155" s="178"/>
      <c r="D155" s="135">
        <v>208.73999999999998</v>
      </c>
      <c r="E155" s="132">
        <v>218.42</v>
      </c>
      <c r="F155" s="132">
        <v>271.06</v>
      </c>
      <c r="G155" s="126">
        <v>159.4</v>
      </c>
      <c r="H155" s="127">
        <v>154.67000000000002</v>
      </c>
      <c r="I155" s="132">
        <v>200.5</v>
      </c>
      <c r="J155" s="127">
        <v>222.91</v>
      </c>
      <c r="K155" s="127">
        <v>241.94</v>
      </c>
      <c r="L155" s="132">
        <v>212.46</v>
      </c>
      <c r="M155" s="127">
        <v>109.45000000000002</v>
      </c>
      <c r="N155" s="135">
        <v>151.09</v>
      </c>
      <c r="O155" s="126">
        <v>125.39000000000001</v>
      </c>
      <c r="P155" s="132">
        <v>154.46</v>
      </c>
      <c r="Q155" s="128">
        <v>136.33999999999997</v>
      </c>
      <c r="R155" s="170">
        <v>179.3</v>
      </c>
      <c r="S155" s="166"/>
      <c r="T155" s="145"/>
      <c r="U155" s="145"/>
      <c r="V155" s="145"/>
      <c r="W155" s="145"/>
      <c r="X155" s="145"/>
      <c r="Y155" s="145"/>
      <c r="Z155" s="145">
        <v>135.80000000000001</v>
      </c>
      <c r="AA155" s="145">
        <v>135.80000000000001</v>
      </c>
      <c r="AB155" s="145">
        <v>106.15</v>
      </c>
      <c r="AC155" s="145"/>
      <c r="AD155" s="145"/>
      <c r="AE155" s="145"/>
      <c r="AF155" s="145"/>
      <c r="AG155" s="145">
        <v>93.75</v>
      </c>
      <c r="AH155" s="145"/>
      <c r="AI155" s="145"/>
      <c r="AJ155" s="145">
        <v>109.42</v>
      </c>
      <c r="AK155" s="145"/>
      <c r="AL155" s="138"/>
    </row>
    <row r="156" spans="1:38" x14ac:dyDescent="0.35">
      <c r="A156" s="165">
        <v>36965</v>
      </c>
      <c r="B156" s="135">
        <v>460</v>
      </c>
      <c r="C156" s="178"/>
      <c r="D156" s="135">
        <v>209.23999999999998</v>
      </c>
      <c r="E156" s="132">
        <v>218.72</v>
      </c>
      <c r="F156" s="132">
        <v>271.06</v>
      </c>
      <c r="G156" s="126">
        <v>167.3</v>
      </c>
      <c r="H156" s="127">
        <v>164.12</v>
      </c>
      <c r="I156" s="132">
        <v>212.20000000000002</v>
      </c>
      <c r="J156" s="127">
        <v>224.81</v>
      </c>
      <c r="K156" s="127">
        <v>244.34</v>
      </c>
      <c r="L156" s="132">
        <v>213.96</v>
      </c>
      <c r="M156" s="127">
        <v>112.35000000000001</v>
      </c>
      <c r="N156" s="135">
        <v>145.19</v>
      </c>
      <c r="O156" s="126">
        <v>127.19000000000001</v>
      </c>
      <c r="P156" s="170">
        <v>152.6</v>
      </c>
      <c r="Q156" s="128">
        <v>142.33999999999997</v>
      </c>
      <c r="R156" s="170">
        <v>179.3</v>
      </c>
      <c r="S156" s="166"/>
      <c r="T156" s="145"/>
      <c r="U156" s="145"/>
      <c r="V156" s="145"/>
      <c r="W156" s="145"/>
      <c r="X156" s="145"/>
      <c r="Y156" s="145"/>
      <c r="Z156" s="145">
        <v>139.15</v>
      </c>
      <c r="AA156" s="132">
        <v>139.15</v>
      </c>
      <c r="AB156" s="145">
        <v>106.11</v>
      </c>
      <c r="AC156" s="145"/>
      <c r="AD156" s="145"/>
      <c r="AE156" s="145"/>
      <c r="AF156" s="145"/>
      <c r="AG156" s="145">
        <v>93.86</v>
      </c>
      <c r="AH156" s="145"/>
      <c r="AI156" s="145"/>
      <c r="AJ156" s="145">
        <v>110.1</v>
      </c>
      <c r="AK156" s="145"/>
      <c r="AL156" s="138"/>
    </row>
    <row r="157" spans="1:38" x14ac:dyDescent="0.35">
      <c r="A157" s="165">
        <v>36982</v>
      </c>
      <c r="B157" s="135">
        <v>460.5</v>
      </c>
      <c r="C157" s="178"/>
      <c r="D157" s="135">
        <v>209.64</v>
      </c>
      <c r="E157" s="132">
        <v>218.72</v>
      </c>
      <c r="F157" s="132">
        <v>270.96000000000004</v>
      </c>
      <c r="G157" s="126">
        <v>167</v>
      </c>
      <c r="H157" s="127">
        <v>161.52000000000001</v>
      </c>
      <c r="I157" s="132">
        <v>208.10000000000002</v>
      </c>
      <c r="J157" s="127">
        <v>225.11</v>
      </c>
      <c r="K157" s="127">
        <v>239.84</v>
      </c>
      <c r="L157" s="132">
        <v>213.26000000000002</v>
      </c>
      <c r="M157" s="127">
        <v>112.75000000000001</v>
      </c>
      <c r="N157" s="135">
        <v>137.79000000000002</v>
      </c>
      <c r="O157" s="126">
        <v>128.89000000000001</v>
      </c>
      <c r="P157" s="170">
        <v>152.6</v>
      </c>
      <c r="Q157" s="128">
        <v>145.33999999999997</v>
      </c>
      <c r="R157" s="170">
        <v>179.3</v>
      </c>
      <c r="S157" s="166"/>
      <c r="T157" s="145"/>
      <c r="U157" s="145"/>
      <c r="V157" s="145"/>
      <c r="W157" s="145"/>
      <c r="X157" s="145"/>
      <c r="Y157" s="145"/>
      <c r="Z157" s="145">
        <v>134.77000000000001</v>
      </c>
      <c r="AA157" s="132">
        <v>134.77000000000001</v>
      </c>
      <c r="AB157" s="145">
        <v>106.03999999999999</v>
      </c>
      <c r="AC157" s="145"/>
      <c r="AD157" s="145"/>
      <c r="AE157" s="145"/>
      <c r="AF157" s="145"/>
      <c r="AG157" s="145">
        <v>94.28</v>
      </c>
      <c r="AH157" s="145"/>
      <c r="AI157" s="145"/>
      <c r="AJ157" s="145">
        <v>111.72</v>
      </c>
      <c r="AK157" s="145"/>
      <c r="AL157" s="138"/>
    </row>
    <row r="158" spans="1:38" x14ac:dyDescent="0.35">
      <c r="A158" s="165">
        <v>37012</v>
      </c>
      <c r="B158" s="135">
        <v>460.4</v>
      </c>
      <c r="C158" s="178"/>
      <c r="D158" s="135">
        <v>209.35</v>
      </c>
      <c r="E158" s="132">
        <v>218.42</v>
      </c>
      <c r="F158" s="132">
        <v>270.69</v>
      </c>
      <c r="G158" s="126">
        <v>161.5</v>
      </c>
      <c r="H158" s="127">
        <v>159.52000000000001</v>
      </c>
      <c r="I158" s="132">
        <v>200.5</v>
      </c>
      <c r="J158" s="127">
        <v>224.41</v>
      </c>
      <c r="K158" s="127">
        <v>238.44</v>
      </c>
      <c r="L158" s="132">
        <v>212.96</v>
      </c>
      <c r="M158" s="127">
        <v>112.35000000000001</v>
      </c>
      <c r="N158" s="143">
        <v>135.6</v>
      </c>
      <c r="O158" s="126">
        <v>129.89000000000001</v>
      </c>
      <c r="P158" s="170">
        <v>152.6</v>
      </c>
      <c r="Q158" s="128">
        <v>145.44</v>
      </c>
      <c r="R158" s="170">
        <v>179.3</v>
      </c>
      <c r="S158" s="166"/>
      <c r="T158" s="137"/>
      <c r="U158" s="137"/>
      <c r="V158" s="137"/>
      <c r="W158" s="137"/>
      <c r="X158" s="145"/>
      <c r="Y158" s="137"/>
      <c r="Z158" s="145">
        <v>133.1</v>
      </c>
      <c r="AA158" s="132">
        <v>133.1</v>
      </c>
      <c r="AB158" s="145">
        <v>106</v>
      </c>
      <c r="AC158" s="145"/>
      <c r="AD158" s="145"/>
      <c r="AE158" s="145"/>
      <c r="AF158" s="145"/>
      <c r="AG158" s="145">
        <v>93.35</v>
      </c>
      <c r="AH158" s="145"/>
      <c r="AI158" s="145"/>
      <c r="AJ158" s="145">
        <v>112.1</v>
      </c>
      <c r="AK158" s="145"/>
      <c r="AL158" s="138"/>
    </row>
    <row r="159" spans="1:38" x14ac:dyDescent="0.35">
      <c r="A159" s="130">
        <v>37043</v>
      </c>
      <c r="B159" s="135">
        <v>460.4</v>
      </c>
      <c r="C159" s="178"/>
      <c r="D159" s="135">
        <v>209.14</v>
      </c>
      <c r="E159" s="132">
        <v>218.12</v>
      </c>
      <c r="F159" s="132">
        <v>270.06</v>
      </c>
      <c r="G159" s="126">
        <v>158.60000000000002</v>
      </c>
      <c r="H159" s="127">
        <v>157.52000000000001</v>
      </c>
      <c r="I159" s="132">
        <v>200.5</v>
      </c>
      <c r="J159" s="127">
        <v>223.91</v>
      </c>
      <c r="K159" s="127">
        <v>237.54</v>
      </c>
      <c r="L159" s="132">
        <v>212.66</v>
      </c>
      <c r="M159" s="127">
        <v>111.45000000000002</v>
      </c>
      <c r="N159" s="143">
        <v>135.6</v>
      </c>
      <c r="O159" s="126">
        <v>130.39000000000001</v>
      </c>
      <c r="P159" s="170">
        <v>152.6</v>
      </c>
      <c r="Q159" s="128">
        <v>144.54</v>
      </c>
      <c r="R159" s="170">
        <v>179.3</v>
      </c>
      <c r="S159" s="171"/>
      <c r="T159" s="136"/>
      <c r="U159" s="136"/>
      <c r="V159" s="136"/>
      <c r="W159" s="136"/>
      <c r="X159" s="144"/>
      <c r="Y159" s="136"/>
      <c r="Z159" s="145">
        <v>132.66</v>
      </c>
      <c r="AA159" s="132">
        <v>132.66</v>
      </c>
      <c r="AB159" s="145">
        <v>106</v>
      </c>
      <c r="AC159" s="145"/>
      <c r="AD159" s="145"/>
      <c r="AE159" s="145"/>
      <c r="AF159" s="145"/>
      <c r="AG159" s="145">
        <v>94.52000000000001</v>
      </c>
      <c r="AH159" s="145"/>
      <c r="AI159" s="145"/>
      <c r="AJ159" s="145">
        <v>113.55</v>
      </c>
      <c r="AK159" s="145"/>
      <c r="AL159" s="138"/>
    </row>
    <row r="160" spans="1:38" x14ac:dyDescent="0.35">
      <c r="A160" s="130">
        <v>37073</v>
      </c>
      <c r="B160" s="135">
        <v>462</v>
      </c>
      <c r="C160" s="178"/>
      <c r="D160" s="135">
        <v>209.04</v>
      </c>
      <c r="E160" s="132">
        <v>217.82</v>
      </c>
      <c r="F160" s="132">
        <v>270.26</v>
      </c>
      <c r="G160" s="126">
        <v>157.9</v>
      </c>
      <c r="H160" s="127">
        <v>158.12</v>
      </c>
      <c r="I160" s="132">
        <v>200.5</v>
      </c>
      <c r="J160" s="127">
        <v>223.31</v>
      </c>
      <c r="K160" s="127">
        <v>238.74</v>
      </c>
      <c r="L160" s="132">
        <v>212.06</v>
      </c>
      <c r="M160" s="127">
        <v>109.75000000000001</v>
      </c>
      <c r="N160" s="143">
        <v>135.6</v>
      </c>
      <c r="O160" s="126">
        <v>126.09</v>
      </c>
      <c r="P160" s="170">
        <v>152.6</v>
      </c>
      <c r="Q160" s="128">
        <v>138.13999999999999</v>
      </c>
      <c r="R160" s="170">
        <v>179.3</v>
      </c>
      <c r="S160" s="171"/>
      <c r="T160" s="136"/>
      <c r="U160" s="136"/>
      <c r="V160" s="136"/>
      <c r="W160" s="136"/>
      <c r="X160" s="144"/>
      <c r="Y160" s="136"/>
      <c r="Z160" s="145">
        <v>132.34</v>
      </c>
      <c r="AA160" s="132">
        <v>132.34</v>
      </c>
      <c r="AB160" s="145">
        <v>106.09</v>
      </c>
      <c r="AC160" s="145"/>
      <c r="AD160" s="145"/>
      <c r="AE160" s="145"/>
      <c r="AF160" s="145"/>
      <c r="AG160" s="145">
        <v>94.57</v>
      </c>
      <c r="AH160" s="145"/>
      <c r="AI160" s="145"/>
      <c r="AJ160" s="145">
        <v>113.7</v>
      </c>
      <c r="AK160" s="145"/>
      <c r="AL160" s="138"/>
    </row>
    <row r="161" spans="1:38" x14ac:dyDescent="0.35">
      <c r="A161" s="130">
        <v>37104</v>
      </c>
      <c r="B161" s="135">
        <v>461.9</v>
      </c>
      <c r="C161" s="178"/>
      <c r="D161" s="135">
        <v>208.94</v>
      </c>
      <c r="E161" s="132">
        <v>217.82</v>
      </c>
      <c r="F161" s="132">
        <v>270.06</v>
      </c>
      <c r="G161" s="126">
        <v>158</v>
      </c>
      <c r="H161" s="127">
        <v>158.22000000000003</v>
      </c>
      <c r="I161" s="132">
        <v>200.5</v>
      </c>
      <c r="J161" s="127">
        <v>223.71</v>
      </c>
      <c r="K161" s="127">
        <v>238.64000000000001</v>
      </c>
      <c r="L161" s="132">
        <v>212.46</v>
      </c>
      <c r="M161" s="127">
        <v>109.65</v>
      </c>
      <c r="N161" s="143">
        <v>135.6</v>
      </c>
      <c r="O161" s="126">
        <v>126.19000000000001</v>
      </c>
      <c r="P161" s="170">
        <v>152.6</v>
      </c>
      <c r="Q161" s="128">
        <v>138.63999999999999</v>
      </c>
      <c r="R161" s="170">
        <v>179.3</v>
      </c>
      <c r="S161" s="171"/>
      <c r="T161" s="136"/>
      <c r="U161" s="136"/>
      <c r="V161" s="136"/>
      <c r="W161" s="136"/>
      <c r="X161" s="144"/>
      <c r="Y161" s="136"/>
      <c r="Z161" s="145">
        <v>132.26</v>
      </c>
      <c r="AA161" s="132">
        <v>132.26</v>
      </c>
      <c r="AB161" s="145">
        <v>106.09</v>
      </c>
      <c r="AC161" s="145"/>
      <c r="AD161" s="145"/>
      <c r="AE161" s="145"/>
      <c r="AF161" s="145"/>
      <c r="AG161" s="145">
        <v>94.53</v>
      </c>
      <c r="AH161" s="145"/>
      <c r="AI161" s="145"/>
      <c r="AJ161" s="145">
        <v>113.58</v>
      </c>
      <c r="AK161" s="145"/>
      <c r="AL161" s="138"/>
    </row>
    <row r="162" spans="1:38" x14ac:dyDescent="0.35">
      <c r="A162" s="130">
        <v>37135</v>
      </c>
      <c r="B162" s="135">
        <v>460</v>
      </c>
      <c r="C162" s="178"/>
      <c r="D162" s="135">
        <v>208.23999999999998</v>
      </c>
      <c r="E162" s="132">
        <v>217.22</v>
      </c>
      <c r="F162" s="132">
        <v>270.26</v>
      </c>
      <c r="G162" s="126">
        <v>155.80000000000001</v>
      </c>
      <c r="H162" s="127">
        <v>155.42000000000002</v>
      </c>
      <c r="I162" s="132">
        <v>200.5</v>
      </c>
      <c r="J162" s="127">
        <v>223.11</v>
      </c>
      <c r="K162" s="127">
        <v>237.24</v>
      </c>
      <c r="L162" s="132">
        <v>211.96</v>
      </c>
      <c r="M162" s="127">
        <v>109.45000000000002</v>
      </c>
      <c r="N162" s="143">
        <v>135.6</v>
      </c>
      <c r="O162" s="126">
        <v>126.09</v>
      </c>
      <c r="P162" s="170">
        <v>152.6</v>
      </c>
      <c r="Q162" s="128">
        <v>137.63999999999999</v>
      </c>
      <c r="R162" s="170">
        <v>179.3</v>
      </c>
      <c r="S162" s="171"/>
      <c r="T162" s="136"/>
      <c r="U162" s="136"/>
      <c r="V162" s="136"/>
      <c r="W162" s="136"/>
      <c r="X162" s="144"/>
      <c r="Y162" s="136"/>
      <c r="Z162" s="145">
        <v>132.19999999999999</v>
      </c>
      <c r="AA162" s="132">
        <v>132.19999999999999</v>
      </c>
      <c r="AB162" s="145">
        <v>106.15</v>
      </c>
      <c r="AC162" s="145"/>
      <c r="AD162" s="145"/>
      <c r="AE162" s="145"/>
      <c r="AF162" s="145"/>
      <c r="AG162" s="145">
        <v>94.460000000000008</v>
      </c>
      <c r="AH162" s="145"/>
      <c r="AI162" s="145"/>
      <c r="AJ162" s="145">
        <v>113.35</v>
      </c>
      <c r="AK162" s="145"/>
      <c r="AL162" s="138"/>
    </row>
    <row r="163" spans="1:38" x14ac:dyDescent="0.35">
      <c r="A163" s="130">
        <v>37165</v>
      </c>
      <c r="B163" s="135">
        <v>460</v>
      </c>
      <c r="C163" s="178"/>
      <c r="D163" s="135">
        <v>208.26999999999998</v>
      </c>
      <c r="E163" s="132">
        <v>217.32</v>
      </c>
      <c r="F163" s="132">
        <v>269.04000000000002</v>
      </c>
      <c r="G163" s="126">
        <v>156.18</v>
      </c>
      <c r="H163" s="127">
        <v>156.15</v>
      </c>
      <c r="I163" s="132">
        <v>200.5</v>
      </c>
      <c r="J163" s="127">
        <v>223.02</v>
      </c>
      <c r="K163" s="127">
        <v>234.54</v>
      </c>
      <c r="L163" s="132"/>
      <c r="M163" s="127">
        <v>110.38000000000001</v>
      </c>
      <c r="N163" s="135">
        <v>136.72</v>
      </c>
      <c r="O163" s="126">
        <v>129.25</v>
      </c>
      <c r="P163" s="170">
        <v>152.6</v>
      </c>
      <c r="Q163" s="128">
        <v>140.22999999999999</v>
      </c>
      <c r="R163" s="144">
        <v>179.98000000000002</v>
      </c>
      <c r="S163" s="171"/>
      <c r="T163" s="136"/>
      <c r="U163" s="136"/>
      <c r="V163" s="136"/>
      <c r="W163" s="136"/>
      <c r="X163" s="144"/>
      <c r="Y163" s="136"/>
      <c r="Z163" s="145"/>
      <c r="AA163" s="136"/>
      <c r="AB163" s="145"/>
      <c r="AC163" s="145"/>
      <c r="AD163" s="145"/>
      <c r="AE163" s="145"/>
      <c r="AF163" s="145"/>
      <c r="AG163" s="145"/>
      <c r="AH163" s="145"/>
      <c r="AI163" s="145"/>
      <c r="AJ163" s="145" t="s">
        <v>27</v>
      </c>
      <c r="AK163" s="145"/>
      <c r="AL163" s="138"/>
    </row>
    <row r="164" spans="1:38" x14ac:dyDescent="0.35">
      <c r="A164" s="130">
        <v>37196</v>
      </c>
      <c r="B164" s="135">
        <v>460.1</v>
      </c>
      <c r="C164" s="178"/>
      <c r="D164" s="135">
        <v>208.18</v>
      </c>
      <c r="E164" s="132">
        <v>217.17</v>
      </c>
      <c r="F164" s="132">
        <v>269.22000000000003</v>
      </c>
      <c r="G164" s="126">
        <v>155.94</v>
      </c>
      <c r="H164" s="127">
        <v>155.98000000000002</v>
      </c>
      <c r="I164" s="132">
        <v>200.5</v>
      </c>
      <c r="J164" s="127">
        <v>221.92000000000002</v>
      </c>
      <c r="K164" s="127">
        <v>234.18</v>
      </c>
      <c r="L164" s="132"/>
      <c r="M164" s="127">
        <v>110.22000000000001</v>
      </c>
      <c r="N164" s="135">
        <v>136.72</v>
      </c>
      <c r="O164" s="126">
        <v>129.05000000000001</v>
      </c>
      <c r="P164" s="170">
        <v>152.6</v>
      </c>
      <c r="Q164" s="128">
        <v>139.57</v>
      </c>
      <c r="R164" s="170">
        <v>179.3</v>
      </c>
      <c r="S164" s="171"/>
      <c r="T164" s="136"/>
      <c r="U164" s="136"/>
      <c r="V164" s="136"/>
      <c r="W164" s="136"/>
      <c r="X164" s="144"/>
      <c r="Y164" s="136"/>
      <c r="Z164" s="145">
        <v>132.18</v>
      </c>
      <c r="AA164" s="132">
        <v>132.13</v>
      </c>
      <c r="AB164" s="145">
        <v>105.8</v>
      </c>
      <c r="AC164" s="145"/>
      <c r="AD164" s="145"/>
      <c r="AE164" s="145"/>
      <c r="AF164" s="145"/>
      <c r="AG164" s="145">
        <v>94.39</v>
      </c>
      <c r="AH164" s="145"/>
      <c r="AI164" s="145"/>
      <c r="AJ164" s="145">
        <v>112.69</v>
      </c>
      <c r="AK164" s="145"/>
      <c r="AL164" s="138"/>
    </row>
    <row r="165" spans="1:38" x14ac:dyDescent="0.35">
      <c r="A165" s="130">
        <v>37226</v>
      </c>
      <c r="B165" s="135">
        <v>460.2</v>
      </c>
      <c r="C165" s="178"/>
      <c r="D165" s="135">
        <v>208.01</v>
      </c>
      <c r="E165" s="132">
        <v>217.03</v>
      </c>
      <c r="F165" s="132">
        <v>269.01</v>
      </c>
      <c r="G165" s="126">
        <v>157.77000000000001</v>
      </c>
      <c r="H165" s="127">
        <v>156.77000000000001</v>
      </c>
      <c r="I165" s="132">
        <v>200.5</v>
      </c>
      <c r="J165" s="127">
        <v>222.82</v>
      </c>
      <c r="K165" s="127"/>
      <c r="L165" s="132"/>
      <c r="M165" s="127">
        <v>110.06</v>
      </c>
      <c r="N165" s="143">
        <v>135.6</v>
      </c>
      <c r="O165" s="126">
        <v>128.62</v>
      </c>
      <c r="P165" s="170">
        <v>152.6</v>
      </c>
      <c r="Q165" s="128">
        <v>138.57</v>
      </c>
      <c r="R165" s="170">
        <v>179.3</v>
      </c>
      <c r="S165" s="171"/>
      <c r="T165" s="136"/>
      <c r="U165" s="136"/>
      <c r="V165" s="136"/>
      <c r="W165" s="136"/>
      <c r="X165" s="144"/>
      <c r="Y165" s="136"/>
      <c r="Z165" s="145">
        <v>132.13999999999999</v>
      </c>
      <c r="AA165" s="132">
        <v>132.07999999999998</v>
      </c>
      <c r="AB165" s="145">
        <v>105.98</v>
      </c>
      <c r="AC165" s="145"/>
      <c r="AD165" s="145"/>
      <c r="AE165" s="145"/>
      <c r="AF165" s="145"/>
      <c r="AG165" s="145">
        <v>94.32</v>
      </c>
      <c r="AH165" s="136"/>
      <c r="AI165" s="136"/>
      <c r="AJ165" s="136">
        <v>112.17</v>
      </c>
      <c r="AK165" s="136"/>
      <c r="AL165" s="138"/>
    </row>
    <row r="166" spans="1:38" x14ac:dyDescent="0.35">
      <c r="A166" s="130">
        <v>37257</v>
      </c>
      <c r="B166" s="135">
        <v>460.2</v>
      </c>
      <c r="C166" s="178"/>
      <c r="D166" s="135">
        <v>208.26999999999998</v>
      </c>
      <c r="E166" s="132">
        <v>217.26</v>
      </c>
      <c r="F166" s="132">
        <v>269.31</v>
      </c>
      <c r="G166" s="126">
        <v>156.46</v>
      </c>
      <c r="H166" s="127">
        <v>156.25</v>
      </c>
      <c r="I166" s="132">
        <v>211.92000000000002</v>
      </c>
      <c r="J166" s="127">
        <v>222.77</v>
      </c>
      <c r="K166" s="127">
        <v>234.88</v>
      </c>
      <c r="L166" s="132"/>
      <c r="M166" s="127">
        <v>109.91000000000001</v>
      </c>
      <c r="N166" s="143">
        <v>135.6</v>
      </c>
      <c r="O166" s="126">
        <v>128.31</v>
      </c>
      <c r="P166" s="170">
        <v>152.6</v>
      </c>
      <c r="Q166" s="128">
        <v>138.08999999999997</v>
      </c>
      <c r="R166" s="170">
        <v>179.3</v>
      </c>
      <c r="S166" s="171"/>
      <c r="T166" s="136"/>
      <c r="U166" s="136"/>
      <c r="V166" s="136"/>
      <c r="W166" s="136"/>
      <c r="X166" s="144"/>
      <c r="Y166" s="136"/>
      <c r="Z166" s="145">
        <v>132.09</v>
      </c>
      <c r="AA166" s="132">
        <v>132.09</v>
      </c>
      <c r="AB166" s="145">
        <v>106.02</v>
      </c>
      <c r="AC166" s="145"/>
      <c r="AD166" s="145"/>
      <c r="AE166" s="145"/>
      <c r="AF166" s="145"/>
      <c r="AG166" s="145">
        <v>94.34</v>
      </c>
      <c r="AH166" s="136"/>
      <c r="AI166" s="136"/>
      <c r="AJ166" s="136">
        <v>111.78999999999999</v>
      </c>
      <c r="AK166" s="136"/>
      <c r="AL166" s="138"/>
    </row>
    <row r="167" spans="1:38" x14ac:dyDescent="0.35">
      <c r="A167" s="130">
        <v>37288</v>
      </c>
      <c r="B167" s="135">
        <v>460.1</v>
      </c>
      <c r="C167" s="178"/>
      <c r="D167" s="135">
        <v>207.85</v>
      </c>
      <c r="E167" s="132">
        <v>216.99</v>
      </c>
      <c r="F167" s="132">
        <v>268.99</v>
      </c>
      <c r="G167" s="126">
        <v>155.81</v>
      </c>
      <c r="H167" s="127">
        <v>155.77000000000001</v>
      </c>
      <c r="I167" s="132">
        <v>206.27</v>
      </c>
      <c r="J167" s="127">
        <v>222.74</v>
      </c>
      <c r="K167" s="127">
        <v>235.1</v>
      </c>
      <c r="L167" s="132">
        <v>211.76000000000002</v>
      </c>
      <c r="M167" s="127">
        <v>109.80000000000001</v>
      </c>
      <c r="N167" s="143">
        <v>135.6</v>
      </c>
      <c r="O167" s="126">
        <v>127.79</v>
      </c>
      <c r="P167" s="170">
        <v>152.6</v>
      </c>
      <c r="Q167" s="128">
        <v>136.96999999999997</v>
      </c>
      <c r="R167" s="170">
        <v>179.3</v>
      </c>
      <c r="S167" s="171"/>
      <c r="T167" s="136"/>
      <c r="U167" s="136"/>
      <c r="V167" s="136"/>
      <c r="W167" s="136"/>
      <c r="X167" s="144"/>
      <c r="Y167" s="136"/>
      <c r="Z167" s="145">
        <v>132.02000000000001</v>
      </c>
      <c r="AA167" s="132">
        <v>132.02000000000001</v>
      </c>
      <c r="AB167" s="145">
        <v>105.85</v>
      </c>
      <c r="AC167" s="145"/>
      <c r="AD167" s="145"/>
      <c r="AE167" s="145"/>
      <c r="AF167" s="145"/>
      <c r="AG167" s="145">
        <v>94.210000000000008</v>
      </c>
      <c r="AH167" s="136"/>
      <c r="AI167" s="136"/>
      <c r="AJ167" s="136">
        <v>111.33</v>
      </c>
      <c r="AK167" s="136"/>
      <c r="AL167" s="138"/>
    </row>
    <row r="168" spans="1:38" x14ac:dyDescent="0.35">
      <c r="A168" s="130">
        <v>37316</v>
      </c>
      <c r="B168" s="135">
        <v>460</v>
      </c>
      <c r="C168" s="178"/>
      <c r="D168" s="135">
        <v>207.1</v>
      </c>
      <c r="E168" s="132">
        <v>217.04</v>
      </c>
      <c r="F168" s="132">
        <v>268.84000000000003</v>
      </c>
      <c r="G168" s="126">
        <v>155.30000000000001</v>
      </c>
      <c r="H168" s="127">
        <v>155.5</v>
      </c>
      <c r="I168" s="132">
        <v>200.5</v>
      </c>
      <c r="J168" s="127">
        <v>222.65</v>
      </c>
      <c r="K168" s="127">
        <v>235.73000000000002</v>
      </c>
      <c r="L168" s="132">
        <v>211.73000000000002</v>
      </c>
      <c r="M168" s="127">
        <v>109.80000000000001</v>
      </c>
      <c r="N168" s="143">
        <v>135.6</v>
      </c>
      <c r="O168" s="126">
        <v>126.30000000000001</v>
      </c>
      <c r="P168" s="170">
        <v>152.6</v>
      </c>
      <c r="Q168" s="128">
        <v>137.07999999999998</v>
      </c>
      <c r="R168" s="170">
        <v>179.3</v>
      </c>
      <c r="S168" s="171"/>
      <c r="T168" s="131"/>
      <c r="U168" s="136"/>
      <c r="V168" s="131"/>
      <c r="W168" s="136"/>
      <c r="X168" s="167"/>
      <c r="Y168" s="136"/>
      <c r="Z168" s="145">
        <v>131.96</v>
      </c>
      <c r="AA168" s="132">
        <v>131.96</v>
      </c>
      <c r="AB168" s="145">
        <v>105.69</v>
      </c>
      <c r="AC168" s="145"/>
      <c r="AD168" s="145"/>
      <c r="AE168" s="145"/>
      <c r="AF168" s="145"/>
      <c r="AG168" s="145">
        <v>94</v>
      </c>
      <c r="AH168" s="131"/>
      <c r="AI168" s="131"/>
      <c r="AJ168" s="131">
        <v>110.78999999999999</v>
      </c>
      <c r="AK168" s="131"/>
      <c r="AL168" s="138"/>
    </row>
    <row r="169" spans="1:38" x14ac:dyDescent="0.35">
      <c r="A169" s="130">
        <v>37347</v>
      </c>
      <c r="B169" s="135">
        <v>460</v>
      </c>
      <c r="C169" s="178"/>
      <c r="D169" s="135">
        <v>207.97</v>
      </c>
      <c r="E169" s="132">
        <v>217.42</v>
      </c>
      <c r="F169" s="132">
        <v>268.57</v>
      </c>
      <c r="G169" s="126">
        <v>155.18</v>
      </c>
      <c r="H169" s="127">
        <v>155.4</v>
      </c>
      <c r="I169" s="132">
        <v>200.5</v>
      </c>
      <c r="J169" s="127">
        <v>222.73000000000002</v>
      </c>
      <c r="K169" s="127">
        <v>235.67000000000002</v>
      </c>
      <c r="L169" s="132">
        <v>211.72</v>
      </c>
      <c r="M169" s="127">
        <v>109.71000000000001</v>
      </c>
      <c r="N169" s="143">
        <v>135.6</v>
      </c>
      <c r="O169" s="126">
        <v>126.77000000000001</v>
      </c>
      <c r="P169" s="170">
        <v>152.6</v>
      </c>
      <c r="Q169" s="128">
        <v>135</v>
      </c>
      <c r="R169" s="170">
        <v>179.3</v>
      </c>
      <c r="S169" s="172"/>
      <c r="T169" s="131"/>
      <c r="U169" s="131"/>
      <c r="V169" s="131"/>
      <c r="W169" s="131"/>
      <c r="X169" s="167"/>
      <c r="Y169" s="131"/>
      <c r="Z169" s="145">
        <v>131.88</v>
      </c>
      <c r="AA169" s="132">
        <v>131.88</v>
      </c>
      <c r="AB169" s="145">
        <v>105.62</v>
      </c>
      <c r="AC169" s="145"/>
      <c r="AD169" s="145"/>
      <c r="AE169" s="145"/>
      <c r="AF169" s="145"/>
      <c r="AG169" s="145">
        <v>93.88</v>
      </c>
      <c r="AH169" s="131"/>
      <c r="AI169" s="131"/>
      <c r="AJ169" s="131">
        <v>110.32</v>
      </c>
      <c r="AK169" s="131"/>
      <c r="AL169" s="138"/>
    </row>
    <row r="170" spans="1:38" x14ac:dyDescent="0.35">
      <c r="A170" s="130">
        <v>37377</v>
      </c>
      <c r="B170" s="135">
        <v>459.9</v>
      </c>
      <c r="C170" s="178"/>
      <c r="D170" s="135">
        <v>208.1</v>
      </c>
      <c r="E170" s="132">
        <v>217.64999999999998</v>
      </c>
      <c r="F170" s="132">
        <v>268.26</v>
      </c>
      <c r="G170" s="126">
        <v>155.4</v>
      </c>
      <c r="H170" s="127">
        <v>155.4</v>
      </c>
      <c r="I170" s="132">
        <v>210.93</v>
      </c>
      <c r="J170" s="127">
        <v>222.69</v>
      </c>
      <c r="K170" s="127">
        <v>235.17000000000002</v>
      </c>
      <c r="L170" s="132">
        <v>211.71</v>
      </c>
      <c r="M170" s="127">
        <v>109.72000000000001</v>
      </c>
      <c r="N170" s="143">
        <v>135.6</v>
      </c>
      <c r="O170" s="126">
        <v>126.29</v>
      </c>
      <c r="P170" s="170">
        <v>152.6</v>
      </c>
      <c r="Q170" s="128">
        <v>134.18</v>
      </c>
      <c r="R170" s="170">
        <v>179.3</v>
      </c>
      <c r="S170" s="171"/>
      <c r="T170" s="131"/>
      <c r="U170" s="136"/>
      <c r="V170" s="131"/>
      <c r="W170" s="136"/>
      <c r="X170" s="167"/>
      <c r="Y170" s="136"/>
      <c r="Z170" s="145">
        <v>131.80000000000001</v>
      </c>
      <c r="AA170" s="132">
        <v>131.6</v>
      </c>
      <c r="AB170" s="145">
        <v>105.57</v>
      </c>
      <c r="AC170" s="145"/>
      <c r="AD170" s="145"/>
      <c r="AE170" s="145"/>
      <c r="AF170" s="145"/>
      <c r="AG170" s="145">
        <v>93.8</v>
      </c>
      <c r="AH170" s="131"/>
      <c r="AI170" s="131"/>
      <c r="AJ170" s="131">
        <v>109.9</v>
      </c>
      <c r="AK170" s="131"/>
      <c r="AL170" s="138"/>
    </row>
    <row r="171" spans="1:38" x14ac:dyDescent="0.35">
      <c r="A171" s="130">
        <v>37408</v>
      </c>
      <c r="B171" s="135">
        <v>459.9</v>
      </c>
      <c r="C171" s="178"/>
      <c r="D171" s="135">
        <v>208.10999999999999</v>
      </c>
      <c r="E171" s="132">
        <v>217.56</v>
      </c>
      <c r="F171" s="132">
        <v>267.94</v>
      </c>
      <c r="G171" s="126">
        <v>156.15</v>
      </c>
      <c r="H171" s="127">
        <v>156.31</v>
      </c>
      <c r="I171" s="132">
        <v>205.65</v>
      </c>
      <c r="J171" s="127">
        <v>230.63</v>
      </c>
      <c r="K171" s="127">
        <v>235.62</v>
      </c>
      <c r="L171" s="132">
        <v>211.68</v>
      </c>
      <c r="M171" s="127">
        <v>109.74000000000001</v>
      </c>
      <c r="N171" s="143">
        <v>135.6</v>
      </c>
      <c r="O171" s="126">
        <v>125.87</v>
      </c>
      <c r="P171" s="170">
        <v>152.6</v>
      </c>
      <c r="Q171" s="128">
        <v>142.40999999999997</v>
      </c>
      <c r="R171" s="170">
        <v>179.3</v>
      </c>
      <c r="S171" s="171">
        <v>437.08</v>
      </c>
      <c r="T171" s="131"/>
      <c r="U171" s="136"/>
      <c r="V171" s="131"/>
      <c r="W171" s="136"/>
      <c r="X171" s="167"/>
      <c r="Y171" s="136"/>
      <c r="Z171" s="145">
        <v>131.69999999999999</v>
      </c>
      <c r="AA171" s="132">
        <v>131.76</v>
      </c>
      <c r="AB171" s="145">
        <v>105.45</v>
      </c>
      <c r="AC171" s="145"/>
      <c r="AD171" s="145"/>
      <c r="AE171" s="145"/>
      <c r="AF171" s="145"/>
      <c r="AG171" s="145">
        <v>93.66</v>
      </c>
      <c r="AH171" s="131"/>
      <c r="AI171" s="131"/>
      <c r="AJ171" s="131">
        <v>109.6</v>
      </c>
      <c r="AK171" s="131"/>
      <c r="AL171" s="138"/>
    </row>
    <row r="172" spans="1:38" x14ac:dyDescent="0.35">
      <c r="A172" s="130">
        <v>37438</v>
      </c>
      <c r="B172" s="135">
        <v>459.9</v>
      </c>
      <c r="C172" s="178"/>
      <c r="D172" s="135">
        <v>207.97</v>
      </c>
      <c r="E172" s="132">
        <v>217.48</v>
      </c>
      <c r="F172" s="132">
        <v>267.64</v>
      </c>
      <c r="G172" s="126">
        <v>155.44</v>
      </c>
      <c r="H172" s="127">
        <v>155.81</v>
      </c>
      <c r="I172" s="132">
        <v>205.17000000000002</v>
      </c>
      <c r="J172" s="127">
        <v>222.60000000000002</v>
      </c>
      <c r="K172" s="127">
        <v>238.7</v>
      </c>
      <c r="L172" s="132">
        <v>211.70000000000002</v>
      </c>
      <c r="M172" s="127">
        <v>109.74000000000001</v>
      </c>
      <c r="N172" s="143">
        <v>135.6</v>
      </c>
      <c r="O172" s="126">
        <v>125.48000000000002</v>
      </c>
      <c r="P172" s="170">
        <v>152.6</v>
      </c>
      <c r="Q172" s="128">
        <v>132.76999999999998</v>
      </c>
      <c r="R172" s="170">
        <v>179.3</v>
      </c>
      <c r="S172" s="171">
        <v>435.9</v>
      </c>
      <c r="T172" s="131"/>
      <c r="U172" s="136"/>
      <c r="V172" s="131"/>
      <c r="W172" s="136"/>
      <c r="X172" s="167"/>
      <c r="Y172" s="136"/>
      <c r="Z172" s="145">
        <v>131.69</v>
      </c>
      <c r="AA172" s="132">
        <v>131.69</v>
      </c>
      <c r="AB172" s="145">
        <v>105.38</v>
      </c>
      <c r="AC172" s="145"/>
      <c r="AD172" s="145"/>
      <c r="AE172" s="145"/>
      <c r="AF172" s="145"/>
      <c r="AG172" s="145">
        <v>93.6</v>
      </c>
      <c r="AH172" s="131"/>
      <c r="AI172" s="131"/>
      <c r="AJ172" s="131">
        <v>109.32</v>
      </c>
      <c r="AK172" s="131"/>
      <c r="AL172" s="138"/>
    </row>
    <row r="173" spans="1:38" x14ac:dyDescent="0.35">
      <c r="A173" s="130">
        <v>37469</v>
      </c>
      <c r="B173" s="135">
        <v>459.8</v>
      </c>
      <c r="C173" s="178"/>
      <c r="D173" s="135">
        <v>207.89999999999998</v>
      </c>
      <c r="E173" s="132">
        <v>217.32999999999998</v>
      </c>
      <c r="F173" s="132">
        <v>267.49</v>
      </c>
      <c r="G173" s="126">
        <v>155.72000000000003</v>
      </c>
      <c r="H173" s="127">
        <v>155.88</v>
      </c>
      <c r="I173" s="132">
        <v>212.68</v>
      </c>
      <c r="J173" s="127">
        <v>222.64000000000001</v>
      </c>
      <c r="K173" s="127">
        <v>237.75</v>
      </c>
      <c r="L173" s="132">
        <v>211.69</v>
      </c>
      <c r="M173" s="127">
        <v>107.74000000000001</v>
      </c>
      <c r="N173" s="143">
        <v>135.6</v>
      </c>
      <c r="O173" s="126">
        <v>124.98000000000002</v>
      </c>
      <c r="P173" s="170">
        <v>152.6</v>
      </c>
      <c r="Q173" s="128">
        <v>131.88999999999999</v>
      </c>
      <c r="R173" s="170">
        <v>179.3</v>
      </c>
      <c r="S173" s="171">
        <v>434.71</v>
      </c>
      <c r="T173" s="131"/>
      <c r="U173" s="136"/>
      <c r="V173" s="131"/>
      <c r="W173" s="136"/>
      <c r="X173" s="167"/>
      <c r="Y173" s="136"/>
      <c r="Z173" s="145">
        <v>131.63999999999999</v>
      </c>
      <c r="AA173" s="132">
        <v>131.63999999999999</v>
      </c>
      <c r="AB173" s="145">
        <v>105.33</v>
      </c>
      <c r="AC173" s="145"/>
      <c r="AD173" s="145"/>
      <c r="AE173" s="145"/>
      <c r="AF173" s="145"/>
      <c r="AG173" s="145">
        <v>93.490000000000009</v>
      </c>
      <c r="AH173" s="131"/>
      <c r="AI173" s="131"/>
      <c r="AJ173" s="131">
        <v>108.93</v>
      </c>
      <c r="AK173" s="131"/>
      <c r="AL173" s="138"/>
    </row>
    <row r="174" spans="1:38" x14ac:dyDescent="0.35">
      <c r="A174" s="130">
        <v>37500</v>
      </c>
      <c r="B174" s="135">
        <v>459.9</v>
      </c>
      <c r="C174" s="178"/>
      <c r="D174" s="135">
        <v>207.82999999999998</v>
      </c>
      <c r="E174" s="132">
        <v>217.1</v>
      </c>
      <c r="F174" s="132">
        <v>267.24</v>
      </c>
      <c r="G174" s="126">
        <v>155.45000000000002</v>
      </c>
      <c r="H174" s="127">
        <v>155.99</v>
      </c>
      <c r="I174" s="132">
        <v>205.78</v>
      </c>
      <c r="J174" s="127">
        <v>222.68</v>
      </c>
      <c r="K174" s="127">
        <v>237.34</v>
      </c>
      <c r="L174" s="132">
        <v>211.70000000000002</v>
      </c>
      <c r="M174" s="127">
        <v>109.22000000000001</v>
      </c>
      <c r="N174" s="143">
        <v>135.6</v>
      </c>
      <c r="O174" s="126">
        <v>124.63000000000001</v>
      </c>
      <c r="P174" s="170">
        <v>152.6</v>
      </c>
      <c r="Q174" s="128">
        <v>131.31</v>
      </c>
      <c r="R174" s="170">
        <v>179.3</v>
      </c>
      <c r="S174" s="171">
        <v>433.53999999999996</v>
      </c>
      <c r="T174" s="131"/>
      <c r="U174" s="136"/>
      <c r="V174" s="131"/>
      <c r="W174" s="136"/>
      <c r="X174" s="167"/>
      <c r="Y174" s="136"/>
      <c r="Z174" s="145">
        <v>131.31</v>
      </c>
      <c r="AA174" s="132">
        <v>131.32</v>
      </c>
      <c r="AB174" s="145">
        <v>105.34</v>
      </c>
      <c r="AC174" s="145"/>
      <c r="AD174" s="145"/>
      <c r="AE174" s="145"/>
      <c r="AF174" s="145"/>
      <c r="AG174" s="145">
        <v>93.4</v>
      </c>
      <c r="AH174" s="131"/>
      <c r="AI174" s="131"/>
      <c r="AJ174" s="131">
        <v>108.69</v>
      </c>
      <c r="AK174" s="131"/>
      <c r="AL174" s="138"/>
    </row>
    <row r="175" spans="1:38" x14ac:dyDescent="0.35">
      <c r="A175" s="130">
        <v>37530</v>
      </c>
      <c r="B175" s="135">
        <v>459.8</v>
      </c>
      <c r="C175" s="178"/>
      <c r="D175" s="135">
        <v>207.66</v>
      </c>
      <c r="E175" s="132">
        <v>216.84</v>
      </c>
      <c r="F175" s="132">
        <v>268.26</v>
      </c>
      <c r="G175" s="126">
        <v>155.25</v>
      </c>
      <c r="H175" s="127">
        <v>155.91000000000003</v>
      </c>
      <c r="I175" s="132">
        <v>213.3</v>
      </c>
      <c r="J175" s="127">
        <v>222.68</v>
      </c>
      <c r="K175" s="127">
        <v>237.11</v>
      </c>
      <c r="L175" s="132">
        <v>211.67000000000002</v>
      </c>
      <c r="M175" s="127">
        <v>109.62</v>
      </c>
      <c r="N175" s="143">
        <v>135.6</v>
      </c>
      <c r="O175" s="126">
        <v>124.28</v>
      </c>
      <c r="P175" s="170">
        <v>152.6</v>
      </c>
      <c r="Q175" s="128">
        <v>130.69999999999999</v>
      </c>
      <c r="R175" s="170">
        <v>179.3</v>
      </c>
      <c r="S175" s="171">
        <v>432.9</v>
      </c>
      <c r="T175" s="131"/>
      <c r="U175" s="136"/>
      <c r="V175" s="131"/>
      <c r="W175" s="136"/>
      <c r="X175" s="167"/>
      <c r="Y175" s="136"/>
      <c r="Z175" s="145">
        <v>131.56</v>
      </c>
      <c r="AA175" s="131" t="s">
        <v>27</v>
      </c>
      <c r="AB175" s="145">
        <v>105.3</v>
      </c>
      <c r="AC175" s="145"/>
      <c r="AD175" s="145"/>
      <c r="AE175" s="145"/>
      <c r="AF175" s="145"/>
      <c r="AG175" s="145">
        <v>93.36</v>
      </c>
      <c r="AH175" s="131"/>
      <c r="AI175" s="131"/>
      <c r="AJ175" s="131">
        <v>108.44</v>
      </c>
      <c r="AK175" s="131"/>
      <c r="AL175" s="138"/>
    </row>
    <row r="176" spans="1:38" x14ac:dyDescent="0.35">
      <c r="A176" s="130">
        <v>37561</v>
      </c>
      <c r="B176" s="135">
        <v>459.7</v>
      </c>
      <c r="C176" s="178"/>
      <c r="D176" s="135">
        <v>207.93</v>
      </c>
      <c r="E176" s="132">
        <v>216.88</v>
      </c>
      <c r="F176" s="132">
        <v>268.27000000000004</v>
      </c>
      <c r="G176" s="126">
        <v>161.03</v>
      </c>
      <c r="H176" s="127">
        <v>157.23000000000002</v>
      </c>
      <c r="I176" s="132">
        <v>210.67000000000002</v>
      </c>
      <c r="J176" s="127">
        <v>222.89000000000001</v>
      </c>
      <c r="K176" s="127">
        <v>238.51</v>
      </c>
      <c r="L176" s="132">
        <v>211.84</v>
      </c>
      <c r="M176" s="127">
        <v>109.67000000000002</v>
      </c>
      <c r="N176" s="143">
        <v>135.6</v>
      </c>
      <c r="O176" s="126">
        <v>123.81</v>
      </c>
      <c r="P176" s="170">
        <v>152.6</v>
      </c>
      <c r="Q176" s="128">
        <v>130.06</v>
      </c>
      <c r="R176" s="170">
        <v>179.3</v>
      </c>
      <c r="S176" s="171">
        <v>432.14</v>
      </c>
      <c r="T176" s="131"/>
      <c r="U176" s="136"/>
      <c r="V176" s="131"/>
      <c r="W176" s="136"/>
      <c r="X176" s="167"/>
      <c r="Y176" s="136"/>
      <c r="Z176" s="145">
        <v>131.57</v>
      </c>
      <c r="AA176" s="131"/>
      <c r="AB176" s="145">
        <v>105.22</v>
      </c>
      <c r="AC176" s="145"/>
      <c r="AD176" s="145"/>
      <c r="AE176" s="145"/>
      <c r="AF176" s="145"/>
      <c r="AG176" s="145">
        <v>93.28</v>
      </c>
      <c r="AH176" s="131"/>
      <c r="AI176" s="131"/>
      <c r="AJ176" s="131">
        <v>108.18</v>
      </c>
      <c r="AK176" s="131"/>
      <c r="AL176" s="138"/>
    </row>
    <row r="177" spans="1:38" x14ac:dyDescent="0.35">
      <c r="A177" s="130">
        <v>37591</v>
      </c>
      <c r="B177" s="135">
        <v>459.6</v>
      </c>
      <c r="C177" s="178"/>
      <c r="D177" s="135">
        <v>207.60999999999999</v>
      </c>
      <c r="E177" s="132">
        <v>216.87</v>
      </c>
      <c r="F177" s="132">
        <v>268.79000000000002</v>
      </c>
      <c r="G177" s="126">
        <v>157.86000000000001</v>
      </c>
      <c r="H177" s="127">
        <v>156.87</v>
      </c>
      <c r="I177" s="132">
        <v>212.21</v>
      </c>
      <c r="J177" s="127">
        <v>222.93</v>
      </c>
      <c r="K177" s="127">
        <v>237.86</v>
      </c>
      <c r="L177" s="132">
        <v>211.8</v>
      </c>
      <c r="M177" s="127">
        <v>109.70000000000002</v>
      </c>
      <c r="N177" s="143">
        <v>135.6</v>
      </c>
      <c r="O177" s="126">
        <v>123.43</v>
      </c>
      <c r="P177" s="170">
        <v>152.6</v>
      </c>
      <c r="Q177" s="128">
        <v>129.60999999999999</v>
      </c>
      <c r="R177" s="170">
        <v>179.3</v>
      </c>
      <c r="S177" s="171">
        <v>431.34999999999997</v>
      </c>
      <c r="T177" s="131"/>
      <c r="U177" s="136"/>
      <c r="V177" s="131"/>
      <c r="W177" s="136"/>
      <c r="X177" s="167"/>
      <c r="Y177" s="136"/>
      <c r="Z177" s="145">
        <v>131.55000000000001</v>
      </c>
      <c r="AA177" s="131"/>
      <c r="AB177" s="145">
        <v>105.16</v>
      </c>
      <c r="AC177" s="145"/>
      <c r="AD177" s="145"/>
      <c r="AE177" s="145"/>
      <c r="AF177" s="145"/>
      <c r="AG177" s="145">
        <v>93.2</v>
      </c>
      <c r="AH177" s="131"/>
      <c r="AI177" s="131"/>
      <c r="AJ177" s="131">
        <v>108.13</v>
      </c>
      <c r="AK177" s="131"/>
      <c r="AL177" s="138"/>
    </row>
    <row r="178" spans="1:38" x14ac:dyDescent="0.35">
      <c r="A178" s="130">
        <v>37622</v>
      </c>
      <c r="B178" s="135">
        <v>459.6</v>
      </c>
      <c r="C178" s="178"/>
      <c r="D178" s="135">
        <v>208.07999999999998</v>
      </c>
      <c r="E178" s="132">
        <v>217.39</v>
      </c>
      <c r="F178" s="132">
        <v>269.28000000000003</v>
      </c>
      <c r="G178" s="126">
        <v>160.42000000000002</v>
      </c>
      <c r="H178" s="127">
        <v>158.43</v>
      </c>
      <c r="I178" s="132">
        <v>209.65</v>
      </c>
      <c r="J178" s="127">
        <v>223.42000000000002</v>
      </c>
      <c r="K178" s="127">
        <v>239.34</v>
      </c>
      <c r="L178" s="132">
        <v>212.04000000000002</v>
      </c>
      <c r="M178" s="127">
        <v>109.62</v>
      </c>
      <c r="N178" s="143">
        <v>135.6</v>
      </c>
      <c r="O178" s="126">
        <v>123.27000000000001</v>
      </c>
      <c r="P178" s="170">
        <v>152.6</v>
      </c>
      <c r="Q178" s="128">
        <v>129.51</v>
      </c>
      <c r="R178" s="170">
        <v>179.3</v>
      </c>
      <c r="S178" s="171">
        <v>430.84999999999997</v>
      </c>
      <c r="T178" s="131"/>
      <c r="U178" s="136"/>
      <c r="V178" s="131"/>
      <c r="W178" s="136"/>
      <c r="X178" s="167"/>
      <c r="Y178" s="136"/>
      <c r="Z178" s="145">
        <v>131.57999999999998</v>
      </c>
      <c r="AA178" s="131"/>
      <c r="AB178" s="145">
        <v>105.09</v>
      </c>
      <c r="AC178" s="145"/>
      <c r="AD178" s="145"/>
      <c r="AE178" s="145"/>
      <c r="AF178" s="145"/>
      <c r="AG178" s="145">
        <v>93.18</v>
      </c>
      <c r="AH178" s="131"/>
      <c r="AI178" s="131"/>
      <c r="AJ178" s="131">
        <v>108.1</v>
      </c>
      <c r="AK178" s="131"/>
      <c r="AL178" s="138"/>
    </row>
    <row r="179" spans="1:38" x14ac:dyDescent="0.35">
      <c r="A179" s="130">
        <v>37653</v>
      </c>
      <c r="B179" s="135">
        <v>459.8</v>
      </c>
      <c r="C179" s="178"/>
      <c r="D179" s="135">
        <v>208.37</v>
      </c>
      <c r="E179" s="132">
        <v>217.70999999999998</v>
      </c>
      <c r="F179" s="132">
        <v>270.06</v>
      </c>
      <c r="G179" s="126">
        <v>164.20000000000002</v>
      </c>
      <c r="H179" s="127">
        <v>157.72000000000003</v>
      </c>
      <c r="I179" s="132">
        <v>212.62</v>
      </c>
      <c r="J179" s="127">
        <v>223.56</v>
      </c>
      <c r="K179" s="127">
        <v>241.95</v>
      </c>
      <c r="L179" s="132">
        <v>212.3</v>
      </c>
      <c r="M179" s="127">
        <v>109.72000000000001</v>
      </c>
      <c r="N179" s="143">
        <v>135.6</v>
      </c>
      <c r="O179" s="126">
        <v>123.27000000000001</v>
      </c>
      <c r="P179" s="170">
        <v>152.6</v>
      </c>
      <c r="Q179" s="128">
        <v>130.58999999999997</v>
      </c>
      <c r="R179" s="170">
        <v>179.3</v>
      </c>
      <c r="S179" s="171">
        <v>432.96999999999997</v>
      </c>
      <c r="T179" s="131"/>
      <c r="U179" s="136"/>
      <c r="V179" s="131"/>
      <c r="W179" s="136"/>
      <c r="X179" s="167"/>
      <c r="Y179" s="136"/>
      <c r="Z179" s="145">
        <v>131.61000000000001</v>
      </c>
      <c r="AA179" s="131"/>
      <c r="AB179" s="145">
        <v>105.03</v>
      </c>
      <c r="AC179" s="145"/>
      <c r="AD179" s="145"/>
      <c r="AE179" s="145"/>
      <c r="AF179" s="145"/>
      <c r="AG179" s="145">
        <v>93.17</v>
      </c>
      <c r="AH179" s="131"/>
      <c r="AI179" s="131"/>
      <c r="AJ179" s="131">
        <v>108.05</v>
      </c>
      <c r="AK179" s="131"/>
      <c r="AL179" s="138"/>
    </row>
    <row r="180" spans="1:38" x14ac:dyDescent="0.35">
      <c r="A180" s="130">
        <v>37681</v>
      </c>
      <c r="B180" s="135">
        <v>459.8</v>
      </c>
      <c r="C180" s="178"/>
      <c r="D180" s="135">
        <v>208.82</v>
      </c>
      <c r="E180" s="132">
        <v>218.14999999999998</v>
      </c>
      <c r="F180" s="132">
        <v>270.79000000000002</v>
      </c>
      <c r="G180" s="126">
        <v>164.48000000000002</v>
      </c>
      <c r="H180" s="127">
        <v>158.94</v>
      </c>
      <c r="I180" s="132">
        <v>213.3</v>
      </c>
      <c r="J180" s="127">
        <v>224.12</v>
      </c>
      <c r="K180" s="127">
        <v>244.97</v>
      </c>
      <c r="L180" s="132">
        <v>212.63</v>
      </c>
      <c r="M180" s="127">
        <v>109.83000000000001</v>
      </c>
      <c r="N180" s="143">
        <v>135.6</v>
      </c>
      <c r="O180" s="126">
        <v>123.49000000000001</v>
      </c>
      <c r="P180" s="170">
        <v>152.6</v>
      </c>
      <c r="Q180" s="128">
        <v>132.65999999999997</v>
      </c>
      <c r="R180" s="170">
        <v>179.3</v>
      </c>
      <c r="S180" s="171">
        <v>433.47999999999996</v>
      </c>
      <c r="T180" s="131"/>
      <c r="U180" s="136"/>
      <c r="V180" s="131"/>
      <c r="W180" s="136"/>
      <c r="X180" s="167"/>
      <c r="Y180" s="136"/>
      <c r="Z180" s="145">
        <v>131.63999999999999</v>
      </c>
      <c r="AA180" s="131"/>
      <c r="AB180" s="145">
        <v>104.99</v>
      </c>
      <c r="AC180" s="145"/>
      <c r="AD180" s="145"/>
      <c r="AE180" s="145"/>
      <c r="AF180" s="145"/>
      <c r="AG180" s="145">
        <v>93.15</v>
      </c>
      <c r="AH180" s="131"/>
      <c r="AI180" s="131"/>
      <c r="AJ180" s="131">
        <v>108.03999999999999</v>
      </c>
      <c r="AK180" s="131"/>
      <c r="AL180" s="138"/>
    </row>
    <row r="181" spans="1:38" x14ac:dyDescent="0.35">
      <c r="A181" s="130">
        <v>37712</v>
      </c>
      <c r="B181" s="135">
        <v>459.8</v>
      </c>
      <c r="C181" s="178"/>
      <c r="D181" s="135">
        <v>209.22</v>
      </c>
      <c r="E181" s="132">
        <v>218.32</v>
      </c>
      <c r="F181" s="132">
        <v>270.75</v>
      </c>
      <c r="G181" s="126">
        <v>161.10000000000002</v>
      </c>
      <c r="H181" s="127">
        <v>158.52000000000001</v>
      </c>
      <c r="I181" s="132">
        <v>206.70000000000002</v>
      </c>
      <c r="J181" s="127">
        <v>224.62</v>
      </c>
      <c r="K181" s="127">
        <v>240.14000000000001</v>
      </c>
      <c r="L181" s="132">
        <v>212.58</v>
      </c>
      <c r="M181" s="127">
        <v>110.22000000000001</v>
      </c>
      <c r="N181" s="143">
        <v>135.6</v>
      </c>
      <c r="O181" s="126">
        <v>124.36000000000001</v>
      </c>
      <c r="P181" s="170">
        <v>152.6</v>
      </c>
      <c r="Q181" s="128">
        <v>135.63</v>
      </c>
      <c r="R181" s="170">
        <v>179.3</v>
      </c>
      <c r="S181" s="171">
        <v>432.87</v>
      </c>
      <c r="T181" s="131"/>
      <c r="U181" s="136"/>
      <c r="V181" s="131"/>
      <c r="W181" s="136"/>
      <c r="X181" s="167"/>
      <c r="Y181" s="136"/>
      <c r="Z181" s="145">
        <v>132.44</v>
      </c>
      <c r="AA181" s="131"/>
      <c r="AB181" s="145">
        <v>104.89</v>
      </c>
      <c r="AC181" s="145"/>
      <c r="AD181" s="145"/>
      <c r="AE181" s="145"/>
      <c r="AF181" s="145"/>
      <c r="AG181" s="145">
        <v>93.22</v>
      </c>
      <c r="AH181" s="131"/>
      <c r="AI181" s="131"/>
      <c r="AJ181" s="131">
        <v>108.61</v>
      </c>
      <c r="AK181" s="131"/>
      <c r="AL181" s="138"/>
    </row>
    <row r="182" spans="1:38" x14ac:dyDescent="0.35">
      <c r="A182" s="130">
        <v>37742</v>
      </c>
      <c r="B182" s="135">
        <v>459.9</v>
      </c>
      <c r="C182" s="178"/>
      <c r="D182" s="135">
        <v>209.35999999999999</v>
      </c>
      <c r="E182" s="132">
        <v>218.39</v>
      </c>
      <c r="F182" s="132">
        <v>270.87</v>
      </c>
      <c r="G182" s="126">
        <v>160.80000000000001</v>
      </c>
      <c r="H182" s="127">
        <v>158.68</v>
      </c>
      <c r="I182" s="132">
        <v>205.20000000000002</v>
      </c>
      <c r="J182" s="127">
        <v>224.66</v>
      </c>
      <c r="K182" s="127">
        <v>239.92000000000002</v>
      </c>
      <c r="L182" s="132">
        <v>212.55</v>
      </c>
      <c r="M182" s="127">
        <v>109.25000000000001</v>
      </c>
      <c r="N182" s="143">
        <v>135.6</v>
      </c>
      <c r="O182" s="126">
        <v>124.93</v>
      </c>
      <c r="P182" s="170">
        <v>152.6</v>
      </c>
      <c r="Q182" s="128">
        <v>137.26</v>
      </c>
      <c r="R182" s="170">
        <v>179.3</v>
      </c>
      <c r="S182" s="171">
        <v>432.15</v>
      </c>
      <c r="T182" s="136"/>
      <c r="U182" s="136"/>
      <c r="V182" s="136"/>
      <c r="W182" s="136"/>
      <c r="X182" s="144"/>
      <c r="Y182" s="136"/>
      <c r="Z182" s="145">
        <v>132.04</v>
      </c>
      <c r="AA182" s="136"/>
      <c r="AB182" s="145">
        <v>104.84</v>
      </c>
      <c r="AC182" s="145"/>
      <c r="AD182" s="145"/>
      <c r="AE182" s="145"/>
      <c r="AF182" s="145"/>
      <c r="AG182" s="145">
        <v>93.27000000000001</v>
      </c>
      <c r="AH182" s="136"/>
      <c r="AI182" s="136"/>
      <c r="AJ182" s="136">
        <v>108.97999999999999</v>
      </c>
      <c r="AK182" s="136"/>
      <c r="AL182" s="138"/>
    </row>
    <row r="183" spans="1:38" x14ac:dyDescent="0.35">
      <c r="A183" s="130">
        <v>37773</v>
      </c>
      <c r="B183" s="135">
        <v>460.1</v>
      </c>
      <c r="C183" s="178"/>
      <c r="D183" s="135">
        <v>209.54999999999998</v>
      </c>
      <c r="E183" s="132">
        <v>218.51</v>
      </c>
      <c r="F183" s="132">
        <v>270.56</v>
      </c>
      <c r="G183" s="126">
        <v>157.61000000000001</v>
      </c>
      <c r="H183" s="127">
        <v>157.21</v>
      </c>
      <c r="I183" s="132">
        <v>200.5</v>
      </c>
      <c r="J183" s="127">
        <v>224.24</v>
      </c>
      <c r="K183" s="127">
        <v>238.53</v>
      </c>
      <c r="L183" s="132">
        <v>212.39000000000001</v>
      </c>
      <c r="M183" s="127">
        <v>110.23000000000002</v>
      </c>
      <c r="N183" s="143">
        <v>135.6</v>
      </c>
      <c r="O183" s="126">
        <v>125.45000000000002</v>
      </c>
      <c r="P183" s="170">
        <v>152.6</v>
      </c>
      <c r="Q183" s="128">
        <v>138.57</v>
      </c>
      <c r="R183" s="170">
        <v>179.3</v>
      </c>
      <c r="S183" s="171">
        <v>431.09</v>
      </c>
      <c r="T183" s="136"/>
      <c r="U183" s="136"/>
      <c r="V183" s="136"/>
      <c r="W183" s="136"/>
      <c r="X183" s="144"/>
      <c r="Y183" s="136"/>
      <c r="Z183" s="145">
        <v>131.81</v>
      </c>
      <c r="AA183" s="136"/>
      <c r="AB183" s="145">
        <v>104.81</v>
      </c>
      <c r="AC183" s="145"/>
      <c r="AD183" s="145"/>
      <c r="AE183" s="145"/>
      <c r="AF183" s="145"/>
      <c r="AG183" s="145">
        <v>93.36</v>
      </c>
      <c r="AH183" s="136"/>
      <c r="AI183" s="136"/>
      <c r="AJ183" s="136">
        <v>109.47</v>
      </c>
      <c r="AK183" s="136"/>
      <c r="AL183" s="138"/>
    </row>
    <row r="184" spans="1:38" x14ac:dyDescent="0.35">
      <c r="A184" s="130">
        <v>37803</v>
      </c>
      <c r="B184" s="135">
        <v>459.92</v>
      </c>
      <c r="C184" s="178"/>
      <c r="D184" s="135">
        <v>209.5</v>
      </c>
      <c r="E184" s="132">
        <v>218.28</v>
      </c>
      <c r="F184" s="132">
        <v>269.96000000000004</v>
      </c>
      <c r="G184" s="126">
        <v>156.68</v>
      </c>
      <c r="H184" s="127">
        <v>156.67000000000002</v>
      </c>
      <c r="I184" s="132">
        <v>200.5</v>
      </c>
      <c r="J184" s="127">
        <v>223.89000000000001</v>
      </c>
      <c r="K184" s="127">
        <v>237.44</v>
      </c>
      <c r="L184" s="132">
        <v>212.26000000000002</v>
      </c>
      <c r="M184" s="127">
        <v>110.06</v>
      </c>
      <c r="N184" s="143">
        <v>135.6</v>
      </c>
      <c r="O184" s="126">
        <v>125.73000000000002</v>
      </c>
      <c r="P184" s="170">
        <v>152.6</v>
      </c>
      <c r="Q184" s="128">
        <v>139.12</v>
      </c>
      <c r="R184" s="170">
        <v>179.3</v>
      </c>
      <c r="S184" s="171">
        <v>430.11</v>
      </c>
      <c r="T184" s="136"/>
      <c r="U184" s="136"/>
      <c r="V184" s="136"/>
      <c r="W184" s="136"/>
      <c r="X184" s="144"/>
      <c r="Y184" s="136"/>
      <c r="Z184" s="145">
        <v>131.6</v>
      </c>
      <c r="AA184" s="136"/>
      <c r="AB184" s="145">
        <v>104.74</v>
      </c>
      <c r="AC184" s="145"/>
      <c r="AD184" s="145"/>
      <c r="AE184" s="145"/>
      <c r="AF184" s="145"/>
      <c r="AG184" s="145">
        <v>93.32</v>
      </c>
      <c r="AH184" s="136"/>
      <c r="AI184" s="136"/>
      <c r="AJ184" s="136">
        <v>109.72</v>
      </c>
      <c r="AK184" s="136"/>
      <c r="AL184" s="138"/>
    </row>
    <row r="185" spans="1:38" x14ac:dyDescent="0.35">
      <c r="A185" s="130">
        <v>37834</v>
      </c>
      <c r="B185" s="135">
        <v>460</v>
      </c>
      <c r="C185" s="178"/>
      <c r="D185" s="135">
        <v>209.53</v>
      </c>
      <c r="E185" s="132">
        <v>218.12</v>
      </c>
      <c r="F185" s="132">
        <v>269.18</v>
      </c>
      <c r="G185" s="126">
        <v>156</v>
      </c>
      <c r="H185" s="127">
        <v>156.27000000000001</v>
      </c>
      <c r="I185" s="132">
        <v>200.5</v>
      </c>
      <c r="J185" s="127">
        <v>223.48000000000002</v>
      </c>
      <c r="K185" s="127">
        <v>236.67000000000002</v>
      </c>
      <c r="L185" s="132">
        <v>212.10000000000002</v>
      </c>
      <c r="M185" s="127">
        <v>109.99000000000001</v>
      </c>
      <c r="N185" s="143">
        <v>135.6</v>
      </c>
      <c r="O185" s="126">
        <v>125.91000000000001</v>
      </c>
      <c r="P185" s="170">
        <v>152.6</v>
      </c>
      <c r="Q185" s="128">
        <v>138.96999999999997</v>
      </c>
      <c r="R185" s="170">
        <v>179.3</v>
      </c>
      <c r="S185" s="171">
        <v>429.32</v>
      </c>
      <c r="T185" s="136"/>
      <c r="U185" s="136"/>
      <c r="V185" s="136"/>
      <c r="W185" s="136"/>
      <c r="X185" s="144"/>
      <c r="Y185" s="136"/>
      <c r="Z185" s="145">
        <v>131.43</v>
      </c>
      <c r="AA185" s="136"/>
      <c r="AB185" s="145">
        <v>104.66</v>
      </c>
      <c r="AC185" s="145"/>
      <c r="AD185" s="145"/>
      <c r="AE185" s="145"/>
      <c r="AF185" s="145"/>
      <c r="AG185" s="145">
        <v>93.22999999999999</v>
      </c>
      <c r="AH185" s="136"/>
      <c r="AI185" s="136"/>
      <c r="AJ185" s="136">
        <v>109.97</v>
      </c>
      <c r="AK185" s="136"/>
      <c r="AL185" s="138"/>
    </row>
    <row r="186" spans="1:38" x14ac:dyDescent="0.35">
      <c r="A186" s="130">
        <v>37865</v>
      </c>
      <c r="B186" s="135">
        <v>460</v>
      </c>
      <c r="C186" s="178"/>
      <c r="D186" s="135">
        <v>209.51</v>
      </c>
      <c r="E186" s="132">
        <v>218.06</v>
      </c>
      <c r="F186" s="132">
        <v>269.06</v>
      </c>
      <c r="G186" s="126">
        <v>155.82000000000002</v>
      </c>
      <c r="H186" s="127">
        <v>156.16000000000003</v>
      </c>
      <c r="I186" s="132">
        <v>200.5</v>
      </c>
      <c r="J186" s="127">
        <v>223.43</v>
      </c>
      <c r="K186" s="127">
        <v>236.37</v>
      </c>
      <c r="L186" s="132">
        <v>212.08</v>
      </c>
      <c r="M186" s="127">
        <v>110.26000000000002</v>
      </c>
      <c r="N186" s="143">
        <v>135.6</v>
      </c>
      <c r="O186" s="126">
        <v>126</v>
      </c>
      <c r="P186" s="170">
        <v>152.6</v>
      </c>
      <c r="Q186" s="128">
        <v>138.76999999999998</v>
      </c>
      <c r="R186" s="170">
        <v>179.3</v>
      </c>
      <c r="S186" s="171">
        <v>430.01</v>
      </c>
      <c r="T186" s="136">
        <v>231.51000000000002</v>
      </c>
      <c r="U186" s="136">
        <v>334.83</v>
      </c>
      <c r="V186" s="136"/>
      <c r="W186" s="144"/>
      <c r="X186" s="144"/>
      <c r="Y186" s="144"/>
      <c r="Z186" s="145">
        <v>131.38999999999999</v>
      </c>
      <c r="AA186" s="136"/>
      <c r="AB186" s="145">
        <v>104.62</v>
      </c>
      <c r="AC186" s="145"/>
      <c r="AD186" s="145"/>
      <c r="AE186" s="145"/>
      <c r="AF186" s="145"/>
      <c r="AG186" s="145">
        <v>93.16</v>
      </c>
      <c r="AH186" s="136"/>
      <c r="AI186" s="136"/>
      <c r="AJ186" s="136">
        <v>110.22</v>
      </c>
      <c r="AK186" s="136"/>
      <c r="AL186" s="138"/>
    </row>
    <row r="187" spans="1:38" x14ac:dyDescent="0.35">
      <c r="A187" s="130">
        <v>37895</v>
      </c>
      <c r="B187" s="135">
        <v>459.86</v>
      </c>
      <c r="C187" s="178"/>
      <c r="D187" s="135">
        <v>209.44</v>
      </c>
      <c r="E187" s="132">
        <v>217.97</v>
      </c>
      <c r="F187" s="132">
        <v>269.01</v>
      </c>
      <c r="G187" s="126">
        <v>155.58000000000001</v>
      </c>
      <c r="H187" s="127">
        <v>156.09</v>
      </c>
      <c r="I187" s="132">
        <v>200.5</v>
      </c>
      <c r="J187" s="127">
        <v>223.26000000000002</v>
      </c>
      <c r="K187" s="127">
        <v>237.09</v>
      </c>
      <c r="L187" s="132">
        <v>212.01000000000002</v>
      </c>
      <c r="M187" s="127">
        <v>110.05000000000001</v>
      </c>
      <c r="N187" s="143">
        <v>135.6</v>
      </c>
      <c r="O187" s="126">
        <v>126.04</v>
      </c>
      <c r="P187" s="170">
        <v>152.6</v>
      </c>
      <c r="Q187" s="128">
        <v>138.40999999999997</v>
      </c>
      <c r="R187" s="170">
        <v>179.3</v>
      </c>
      <c r="S187" s="171">
        <v>428.90999999999997</v>
      </c>
      <c r="T187" s="136">
        <v>231.13000000000002</v>
      </c>
      <c r="U187" s="136">
        <v>335.84999999999997</v>
      </c>
      <c r="V187" s="136">
        <v>358.02000000000004</v>
      </c>
      <c r="W187" s="145">
        <v>478.1</v>
      </c>
      <c r="X187" s="145">
        <v>623.29999999999995</v>
      </c>
      <c r="Y187" s="175">
        <v>656.62</v>
      </c>
      <c r="Z187" s="145">
        <v>131.32</v>
      </c>
      <c r="AA187" s="136"/>
      <c r="AB187" s="145">
        <v>104.6</v>
      </c>
      <c r="AC187" s="145"/>
      <c r="AD187" s="145"/>
      <c r="AE187" s="145"/>
      <c r="AF187" s="145"/>
      <c r="AG187" s="145">
        <v>93.1</v>
      </c>
      <c r="AH187" s="136"/>
      <c r="AI187" s="136"/>
      <c r="AJ187" s="136">
        <v>110.32</v>
      </c>
      <c r="AK187" s="136"/>
      <c r="AL187" s="138"/>
    </row>
    <row r="188" spans="1:38" x14ac:dyDescent="0.35">
      <c r="A188" s="130">
        <v>37926</v>
      </c>
      <c r="B188" s="135">
        <v>459.73</v>
      </c>
      <c r="C188" s="178"/>
      <c r="D188" s="135">
        <v>208.98999999999998</v>
      </c>
      <c r="E188" s="132">
        <v>217.73</v>
      </c>
      <c r="F188" s="132">
        <v>268.77000000000004</v>
      </c>
      <c r="G188" s="126">
        <v>155.45000000000002</v>
      </c>
      <c r="H188" s="127">
        <v>155.99</v>
      </c>
      <c r="I188" s="132">
        <v>200.5</v>
      </c>
      <c r="J188" s="127">
        <v>223.09</v>
      </c>
      <c r="K188" s="127">
        <v>236.72</v>
      </c>
      <c r="L188" s="132">
        <v>211.96</v>
      </c>
      <c r="M188" s="127">
        <v>109.83000000000001</v>
      </c>
      <c r="N188" s="143">
        <v>135.6</v>
      </c>
      <c r="O188" s="126">
        <v>125.92000000000002</v>
      </c>
      <c r="P188" s="170">
        <v>152.6</v>
      </c>
      <c r="Q188" s="128">
        <v>137.81</v>
      </c>
      <c r="R188" s="170">
        <v>179.3</v>
      </c>
      <c r="S188" s="171">
        <v>427.90999999999997</v>
      </c>
      <c r="T188" s="136">
        <v>230.21</v>
      </c>
      <c r="U188" s="136">
        <v>336.05999999999995</v>
      </c>
      <c r="V188" s="136">
        <v>356.62</v>
      </c>
      <c r="W188" s="145">
        <v>478.1</v>
      </c>
      <c r="X188" s="145">
        <v>623.29999999999995</v>
      </c>
      <c r="Y188" s="175">
        <v>656.62</v>
      </c>
      <c r="Z188" s="145">
        <v>131.29</v>
      </c>
      <c r="AA188" s="136"/>
      <c r="AB188" s="145">
        <v>104.53</v>
      </c>
      <c r="AC188" s="145"/>
      <c r="AD188" s="145"/>
      <c r="AE188" s="145"/>
      <c r="AF188" s="145"/>
      <c r="AG188" s="145">
        <v>93.039999999999992</v>
      </c>
      <c r="AH188" s="136"/>
      <c r="AI188" s="136"/>
      <c r="AJ188" s="136">
        <v>110.3</v>
      </c>
      <c r="AK188" s="136"/>
      <c r="AL188" s="138"/>
    </row>
    <row r="189" spans="1:38" x14ac:dyDescent="0.35">
      <c r="A189" s="130">
        <v>37956</v>
      </c>
      <c r="B189" s="135">
        <v>459.74</v>
      </c>
      <c r="C189" s="178"/>
      <c r="D189" s="135">
        <v>208.64</v>
      </c>
      <c r="E189" s="132">
        <v>217.54999999999998</v>
      </c>
      <c r="F189" s="132">
        <v>268.78000000000003</v>
      </c>
      <c r="G189" s="126">
        <v>155.22000000000003</v>
      </c>
      <c r="H189" s="127">
        <v>155.91000000000003</v>
      </c>
      <c r="I189" s="132">
        <v>200.5</v>
      </c>
      <c r="J189" s="127">
        <v>222.95000000000002</v>
      </c>
      <c r="K189" s="127">
        <v>237.13</v>
      </c>
      <c r="L189" s="132">
        <v>211.89000000000001</v>
      </c>
      <c r="M189" s="127">
        <v>109.74000000000001</v>
      </c>
      <c r="N189" s="143">
        <v>135.6</v>
      </c>
      <c r="O189" s="126">
        <v>125.72</v>
      </c>
      <c r="P189" s="170">
        <v>152.6</v>
      </c>
      <c r="Q189" s="128">
        <v>137.02999999999997</v>
      </c>
      <c r="R189" s="170">
        <v>179.3</v>
      </c>
      <c r="S189" s="171">
        <v>427.96999999999997</v>
      </c>
      <c r="T189" s="136">
        <v>230.00000000000003</v>
      </c>
      <c r="U189" s="136">
        <v>336.09</v>
      </c>
      <c r="V189" s="136">
        <v>358.06</v>
      </c>
      <c r="W189" s="145">
        <v>478.1</v>
      </c>
      <c r="X189" s="145">
        <v>623.29999999999995</v>
      </c>
      <c r="Y189" s="175">
        <v>656.62</v>
      </c>
      <c r="Z189" s="145">
        <v>131.29</v>
      </c>
      <c r="AA189" s="136"/>
      <c r="AB189" s="145">
        <v>104.46000000000001</v>
      </c>
      <c r="AC189" s="145"/>
      <c r="AD189" s="145"/>
      <c r="AE189" s="145"/>
      <c r="AF189" s="145"/>
      <c r="AG189" s="145">
        <v>92.97999999999999</v>
      </c>
      <c r="AH189" s="136"/>
      <c r="AI189" s="136"/>
      <c r="AJ189" s="136">
        <v>110.12</v>
      </c>
      <c r="AK189" s="136"/>
      <c r="AL189" s="138"/>
    </row>
    <row r="190" spans="1:38" x14ac:dyDescent="0.35">
      <c r="A190" s="130">
        <v>37987</v>
      </c>
      <c r="B190" s="135">
        <v>459.82</v>
      </c>
      <c r="C190" s="178"/>
      <c r="D190" s="135">
        <v>208.82999999999998</v>
      </c>
      <c r="E190" s="132">
        <v>217.73</v>
      </c>
      <c r="F190" s="132">
        <v>269.45</v>
      </c>
      <c r="G190" s="126">
        <v>157.12</v>
      </c>
      <c r="H190" s="127">
        <v>156.47000000000003</v>
      </c>
      <c r="I190" s="132">
        <v>209.53</v>
      </c>
      <c r="J190" s="127">
        <v>222.96</v>
      </c>
      <c r="K190" s="127">
        <v>238.37</v>
      </c>
      <c r="L190" s="132">
        <v>211.86</v>
      </c>
      <c r="M190" s="127">
        <v>110.08000000000001</v>
      </c>
      <c r="N190" s="143">
        <v>135.6</v>
      </c>
      <c r="O190" s="126">
        <v>125.54</v>
      </c>
      <c r="P190" s="170">
        <v>152.6</v>
      </c>
      <c r="Q190" s="128">
        <v>136.41999999999999</v>
      </c>
      <c r="R190" s="170">
        <v>179.3</v>
      </c>
      <c r="S190" s="171">
        <v>429.04999999999995</v>
      </c>
      <c r="T190" s="136">
        <v>229.76000000000002</v>
      </c>
      <c r="U190" s="136">
        <v>336.09</v>
      </c>
      <c r="V190" s="136">
        <v>358.11</v>
      </c>
      <c r="W190" s="145">
        <v>478.1</v>
      </c>
      <c r="X190" s="145">
        <v>623.29999999999995</v>
      </c>
      <c r="Y190" s="175">
        <v>656.62</v>
      </c>
      <c r="Z190" s="145">
        <v>131.32999999999998</v>
      </c>
      <c r="AA190" s="136"/>
      <c r="AB190" s="145">
        <v>104.52</v>
      </c>
      <c r="AC190" s="145"/>
      <c r="AD190" s="145"/>
      <c r="AE190" s="145"/>
      <c r="AF190" s="145"/>
      <c r="AG190" s="145">
        <v>93</v>
      </c>
      <c r="AH190" s="136"/>
      <c r="AI190" s="136"/>
      <c r="AJ190" s="136">
        <v>110.03999999999999</v>
      </c>
      <c r="AK190" s="136"/>
      <c r="AL190" s="138"/>
    </row>
    <row r="191" spans="1:38" x14ac:dyDescent="0.35">
      <c r="A191" s="130">
        <v>38018</v>
      </c>
      <c r="B191" s="135">
        <v>459.69</v>
      </c>
      <c r="C191" s="178"/>
      <c r="D191" s="135">
        <v>208.57999999999998</v>
      </c>
      <c r="E191" s="132">
        <v>217.62</v>
      </c>
      <c r="F191" s="132">
        <v>269.41000000000003</v>
      </c>
      <c r="G191" s="126">
        <v>155.77000000000001</v>
      </c>
      <c r="H191" s="127">
        <v>156.07</v>
      </c>
      <c r="I191" s="132">
        <v>209.39000000000001</v>
      </c>
      <c r="J191" s="127">
        <v>222.89000000000001</v>
      </c>
      <c r="K191" s="127">
        <v>237.62</v>
      </c>
      <c r="L191" s="132">
        <v>211.83</v>
      </c>
      <c r="M191" s="127">
        <v>109.92000000000002</v>
      </c>
      <c r="N191" s="143">
        <v>135.6</v>
      </c>
      <c r="O191" s="126">
        <v>125.27000000000001</v>
      </c>
      <c r="P191" s="170">
        <v>152.6</v>
      </c>
      <c r="Q191" s="128">
        <v>135.65999999999997</v>
      </c>
      <c r="R191" s="170">
        <v>179.3</v>
      </c>
      <c r="S191" s="171">
        <v>428.04999999999995</v>
      </c>
      <c r="T191" s="136">
        <v>229.48000000000002</v>
      </c>
      <c r="U191" s="136">
        <v>335.98999999999995</v>
      </c>
      <c r="V191" s="136">
        <v>358.03000000000003</v>
      </c>
      <c r="W191" s="145">
        <v>478.1</v>
      </c>
      <c r="X191" s="145">
        <v>623.29999999999995</v>
      </c>
      <c r="Y191" s="175">
        <v>656.62</v>
      </c>
      <c r="Z191" s="145">
        <v>132.13999999999999</v>
      </c>
      <c r="AA191" s="136"/>
      <c r="AB191" s="145">
        <v>104.33</v>
      </c>
      <c r="AC191" s="145"/>
      <c r="AD191" s="145"/>
      <c r="AE191" s="145"/>
      <c r="AF191" s="145"/>
      <c r="AG191" s="145">
        <v>92.94</v>
      </c>
      <c r="AH191" s="136"/>
      <c r="AI191" s="136"/>
      <c r="AJ191" s="136">
        <v>109.91</v>
      </c>
      <c r="AK191" s="136"/>
      <c r="AL191" s="138"/>
    </row>
    <row r="192" spans="1:38" x14ac:dyDescent="0.35">
      <c r="A192" s="130">
        <v>38047</v>
      </c>
      <c r="B192" s="135">
        <v>459.69</v>
      </c>
      <c r="C192" s="178"/>
      <c r="D192" s="135">
        <v>208.87</v>
      </c>
      <c r="E192" s="132">
        <v>218.01</v>
      </c>
      <c r="F192" s="132">
        <v>270</v>
      </c>
      <c r="G192" s="126">
        <v>161.29000000000002</v>
      </c>
      <c r="H192" s="127">
        <v>158.4</v>
      </c>
      <c r="I192" s="132">
        <v>212.8</v>
      </c>
      <c r="J192" s="127">
        <v>223.38</v>
      </c>
      <c r="K192" s="127">
        <v>240.17000000000002</v>
      </c>
      <c r="L192" s="132">
        <v>212.14000000000001</v>
      </c>
      <c r="M192" s="127">
        <v>110.18</v>
      </c>
      <c r="N192" s="143">
        <v>135.6</v>
      </c>
      <c r="O192" s="126">
        <v>125.33000000000001</v>
      </c>
      <c r="P192" s="170">
        <v>152.6</v>
      </c>
      <c r="Q192" s="128">
        <v>136.13999999999999</v>
      </c>
      <c r="R192" s="170">
        <v>179.3</v>
      </c>
      <c r="S192" s="174">
        <v>427</v>
      </c>
      <c r="T192" s="136">
        <v>229.44000000000003</v>
      </c>
      <c r="U192" s="136">
        <v>336.16999999999996</v>
      </c>
      <c r="V192" s="136">
        <v>358.20000000000005</v>
      </c>
      <c r="W192" s="145">
        <v>478.1</v>
      </c>
      <c r="X192" s="145">
        <v>623.29999999999995</v>
      </c>
      <c r="Y192" s="175">
        <v>656.62</v>
      </c>
      <c r="Z192" s="145">
        <v>131.32</v>
      </c>
      <c r="AA192" s="136"/>
      <c r="AB192" s="145">
        <v>104.38</v>
      </c>
      <c r="AC192" s="145"/>
      <c r="AD192" s="145"/>
      <c r="AE192" s="145"/>
      <c r="AF192" s="145"/>
      <c r="AG192" s="145">
        <v>92.95</v>
      </c>
      <c r="AH192" s="136"/>
      <c r="AI192" s="136"/>
      <c r="AJ192" s="136">
        <v>109.95</v>
      </c>
      <c r="AK192" s="136"/>
      <c r="AL192" s="138"/>
    </row>
    <row r="193" spans="1:38" x14ac:dyDescent="0.35">
      <c r="A193" s="130">
        <v>38078</v>
      </c>
      <c r="B193" s="135">
        <v>459.79</v>
      </c>
      <c r="C193" s="178"/>
      <c r="D193" s="135">
        <v>208.93</v>
      </c>
      <c r="E193" s="132">
        <v>217.93</v>
      </c>
      <c r="F193" s="132">
        <v>269.89</v>
      </c>
      <c r="G193" s="126">
        <v>157.45000000000002</v>
      </c>
      <c r="H193" s="127">
        <v>156.98000000000002</v>
      </c>
      <c r="I193" s="132">
        <v>211.65</v>
      </c>
      <c r="J193" s="127">
        <v>223.33</v>
      </c>
      <c r="K193" s="127">
        <v>238.91</v>
      </c>
      <c r="L193" s="132">
        <v>212.13</v>
      </c>
      <c r="M193" s="127">
        <v>110.03</v>
      </c>
      <c r="N193" s="143">
        <v>135.6</v>
      </c>
      <c r="O193" s="126">
        <v>124.42000000000002</v>
      </c>
      <c r="P193" s="170">
        <v>152.6</v>
      </c>
      <c r="Q193" s="128">
        <v>135.71999999999997</v>
      </c>
      <c r="R193" s="170">
        <v>179.3</v>
      </c>
      <c r="S193" s="171">
        <v>427.62</v>
      </c>
      <c r="T193" s="136">
        <v>229.42000000000002</v>
      </c>
      <c r="U193" s="136">
        <v>336.36999999999995</v>
      </c>
      <c r="V193" s="136">
        <v>358.01</v>
      </c>
      <c r="W193" s="145">
        <v>478.1</v>
      </c>
      <c r="X193" s="145">
        <v>623.29999999999995</v>
      </c>
      <c r="Y193" s="175">
        <v>656.62</v>
      </c>
      <c r="Z193" s="145">
        <v>131.22999999999999</v>
      </c>
      <c r="AA193" s="136"/>
      <c r="AB193" s="145">
        <v>104.18</v>
      </c>
      <c r="AC193" s="145"/>
      <c r="AD193" s="145"/>
      <c r="AE193" s="145"/>
      <c r="AF193" s="145"/>
      <c r="AG193" s="145">
        <v>93.02000000000001</v>
      </c>
      <c r="AH193" s="136"/>
      <c r="AI193" s="136"/>
      <c r="AJ193" s="136">
        <v>109.93</v>
      </c>
      <c r="AK193" s="136"/>
      <c r="AL193" s="138"/>
    </row>
    <row r="194" spans="1:38" x14ac:dyDescent="0.35">
      <c r="A194" s="130">
        <v>38108</v>
      </c>
      <c r="B194" s="135">
        <v>459.87</v>
      </c>
      <c r="C194" s="178"/>
      <c r="D194" s="135">
        <v>208.95999999999998</v>
      </c>
      <c r="E194" s="132">
        <v>217.84</v>
      </c>
      <c r="F194" s="132">
        <v>269.27000000000004</v>
      </c>
      <c r="G194" s="126">
        <v>156.52000000000001</v>
      </c>
      <c r="H194" s="127">
        <v>156.42000000000002</v>
      </c>
      <c r="I194" s="132">
        <v>201.8</v>
      </c>
      <c r="J194" s="127">
        <v>223.14000000000001</v>
      </c>
      <c r="K194" s="127">
        <v>237.74</v>
      </c>
      <c r="L194" s="132">
        <v>212.03</v>
      </c>
      <c r="M194" s="127">
        <v>110.03</v>
      </c>
      <c r="N194" s="143">
        <v>135.6</v>
      </c>
      <c r="O194" s="126">
        <v>125.47</v>
      </c>
      <c r="P194" s="170">
        <v>152.6</v>
      </c>
      <c r="Q194" s="128">
        <v>135.38999999999999</v>
      </c>
      <c r="R194" s="170">
        <v>179.3</v>
      </c>
      <c r="S194" s="174">
        <v>427</v>
      </c>
      <c r="T194" s="136">
        <v>229.50000000000003</v>
      </c>
      <c r="U194" s="136">
        <v>336.17999999999995</v>
      </c>
      <c r="V194" s="136">
        <v>358.12</v>
      </c>
      <c r="W194" s="145">
        <v>478.1</v>
      </c>
      <c r="X194" s="145">
        <v>623.29999999999995</v>
      </c>
      <c r="Y194" s="175">
        <v>656.62</v>
      </c>
      <c r="Z194" s="145">
        <v>131.19</v>
      </c>
      <c r="AA194" s="136"/>
      <c r="AB194" s="145">
        <v>104.08</v>
      </c>
      <c r="AC194" s="145"/>
      <c r="AD194" s="145"/>
      <c r="AE194" s="145"/>
      <c r="AF194" s="145"/>
      <c r="AG194" s="145">
        <v>93.1</v>
      </c>
      <c r="AH194" s="136"/>
      <c r="AI194" s="136"/>
      <c r="AJ194" s="136">
        <v>109.9</v>
      </c>
      <c r="AK194" s="136"/>
      <c r="AL194" s="138"/>
    </row>
    <row r="195" spans="1:38" x14ac:dyDescent="0.35">
      <c r="A195" s="130">
        <v>38139</v>
      </c>
      <c r="B195" s="135">
        <v>459.88</v>
      </c>
      <c r="C195" s="178"/>
      <c r="D195" s="135">
        <v>208.70999999999998</v>
      </c>
      <c r="E195" s="132">
        <v>217.56</v>
      </c>
      <c r="F195" s="132">
        <v>268.78000000000003</v>
      </c>
      <c r="G195" s="126">
        <v>155.92000000000002</v>
      </c>
      <c r="H195" s="127">
        <v>156.04000000000002</v>
      </c>
      <c r="I195" s="132">
        <v>212.10000000000002</v>
      </c>
      <c r="J195" s="127">
        <v>221.97</v>
      </c>
      <c r="K195" s="127">
        <v>236.83</v>
      </c>
      <c r="L195" s="132">
        <v>211.92000000000002</v>
      </c>
      <c r="M195" s="127">
        <v>109.89000000000001</v>
      </c>
      <c r="N195" s="143">
        <v>135.6</v>
      </c>
      <c r="O195" s="126">
        <v>125.58000000000001</v>
      </c>
      <c r="P195" s="170">
        <v>152.6</v>
      </c>
      <c r="Q195" s="128">
        <v>134.91999999999999</v>
      </c>
      <c r="R195" s="170">
        <v>179.3</v>
      </c>
      <c r="S195" s="174">
        <v>427</v>
      </c>
      <c r="T195" s="136">
        <v>229.44000000000003</v>
      </c>
      <c r="U195" s="136">
        <v>336.25</v>
      </c>
      <c r="V195" s="136">
        <v>358.13</v>
      </c>
      <c r="W195" s="145">
        <v>478.1</v>
      </c>
      <c r="X195" s="145">
        <v>623.29999999999995</v>
      </c>
      <c r="Y195" s="175">
        <v>656.62</v>
      </c>
      <c r="Z195" s="145">
        <v>131.17000000000002</v>
      </c>
      <c r="AA195" s="136"/>
      <c r="AB195" s="145">
        <v>103.96000000000001</v>
      </c>
      <c r="AC195" s="145"/>
      <c r="AD195" s="145"/>
      <c r="AE195" s="145"/>
      <c r="AF195" s="145"/>
      <c r="AG195" s="145">
        <v>93.12</v>
      </c>
      <c r="AH195" s="136"/>
      <c r="AI195" s="136"/>
      <c r="AJ195" s="136">
        <v>109.78999999999999</v>
      </c>
      <c r="AK195" s="136"/>
      <c r="AL195" s="138"/>
    </row>
    <row r="196" spans="1:38" x14ac:dyDescent="0.35">
      <c r="A196" s="130">
        <v>38169</v>
      </c>
      <c r="B196" s="135">
        <v>460.03</v>
      </c>
      <c r="C196" s="178"/>
      <c r="D196" s="135">
        <v>208.73999999999998</v>
      </c>
      <c r="E196" s="132">
        <v>217.59</v>
      </c>
      <c r="F196" s="132">
        <v>268.98</v>
      </c>
      <c r="G196" s="126">
        <v>155.85000000000002</v>
      </c>
      <c r="H196" s="127">
        <v>156.08000000000001</v>
      </c>
      <c r="I196" s="132">
        <v>201.44</v>
      </c>
      <c r="J196" s="127">
        <v>222.96</v>
      </c>
      <c r="K196" s="127">
        <v>236.27</v>
      </c>
      <c r="L196" s="132">
        <v>211.9</v>
      </c>
      <c r="M196" s="127">
        <v>109.87</v>
      </c>
      <c r="N196" s="143">
        <v>135.6</v>
      </c>
      <c r="O196" s="126">
        <v>125.64000000000001</v>
      </c>
      <c r="P196" s="170">
        <v>152.6</v>
      </c>
      <c r="Q196" s="128">
        <v>134.58999999999997</v>
      </c>
      <c r="R196" s="170">
        <v>179.3</v>
      </c>
      <c r="S196" s="171">
        <v>427.37</v>
      </c>
      <c r="T196" s="136">
        <v>229.41000000000003</v>
      </c>
      <c r="U196" s="136">
        <v>336.25</v>
      </c>
      <c r="V196" s="136">
        <v>358.26</v>
      </c>
      <c r="W196" s="145">
        <v>478.1</v>
      </c>
      <c r="X196" s="145">
        <v>623.29999999999995</v>
      </c>
      <c r="Y196" s="175">
        <v>656.62</v>
      </c>
      <c r="Z196" s="145">
        <v>131.19</v>
      </c>
      <c r="AA196" s="136"/>
      <c r="AB196" s="145">
        <v>103.97</v>
      </c>
      <c r="AC196" s="145"/>
      <c r="AD196" s="145"/>
      <c r="AE196" s="145"/>
      <c r="AF196" s="145"/>
      <c r="AG196" s="145">
        <v>93.17</v>
      </c>
      <c r="AH196" s="136"/>
      <c r="AI196" s="136"/>
      <c r="AJ196" s="136">
        <v>109.89</v>
      </c>
      <c r="AK196" s="136"/>
      <c r="AL196" s="138"/>
    </row>
    <row r="197" spans="1:38" x14ac:dyDescent="0.35">
      <c r="A197" s="130">
        <v>38200</v>
      </c>
      <c r="B197" s="135">
        <v>459.83</v>
      </c>
      <c r="C197" s="178"/>
      <c r="D197" s="135">
        <v>208.53</v>
      </c>
      <c r="E197" s="132">
        <v>217.35999999999999</v>
      </c>
      <c r="F197" s="132">
        <v>268.43</v>
      </c>
      <c r="G197" s="126">
        <v>155.38</v>
      </c>
      <c r="H197" s="127">
        <v>155.86000000000001</v>
      </c>
      <c r="I197" s="132">
        <v>200.5</v>
      </c>
      <c r="J197" s="127">
        <v>222.84</v>
      </c>
      <c r="K197" s="127">
        <v>235.49</v>
      </c>
      <c r="L197" s="132">
        <v>211.81</v>
      </c>
      <c r="M197" s="127">
        <v>109.74000000000001</v>
      </c>
      <c r="N197" s="143">
        <v>135.6</v>
      </c>
      <c r="O197" s="126">
        <v>125.39000000000001</v>
      </c>
      <c r="P197" s="170">
        <v>152.6</v>
      </c>
      <c r="Q197" s="128">
        <v>133.94</v>
      </c>
      <c r="R197" s="170">
        <v>179.3</v>
      </c>
      <c r="S197" s="171">
        <v>427.29999999999995</v>
      </c>
      <c r="T197" s="136">
        <v>229.27</v>
      </c>
      <c r="U197" s="136">
        <v>336.22999999999996</v>
      </c>
      <c r="V197" s="136">
        <v>358.05</v>
      </c>
      <c r="W197" s="145">
        <v>478.1</v>
      </c>
      <c r="X197" s="145">
        <v>623.29999999999995</v>
      </c>
      <c r="Y197" s="175">
        <v>656.62</v>
      </c>
      <c r="Z197" s="145">
        <v>131.16</v>
      </c>
      <c r="AA197" s="136"/>
      <c r="AB197" s="145">
        <v>103.87</v>
      </c>
      <c r="AC197" s="145"/>
      <c r="AD197" s="145"/>
      <c r="AE197" s="145"/>
      <c r="AF197" s="145"/>
      <c r="AG197" s="145">
        <v>93.09</v>
      </c>
      <c r="AH197" s="136"/>
      <c r="AI197" s="136"/>
      <c r="AJ197" s="136">
        <v>109.39</v>
      </c>
      <c r="AK197" s="136"/>
      <c r="AL197" s="138"/>
    </row>
    <row r="198" spans="1:38" x14ac:dyDescent="0.35">
      <c r="A198" s="130">
        <v>38231</v>
      </c>
      <c r="B198" s="135">
        <v>459.85</v>
      </c>
      <c r="C198" s="178"/>
      <c r="D198" s="135">
        <v>208.53</v>
      </c>
      <c r="E198" s="132">
        <v>217.32999999999998</v>
      </c>
      <c r="F198" s="132">
        <v>267.78000000000003</v>
      </c>
      <c r="G198" s="126">
        <v>155.19</v>
      </c>
      <c r="H198" s="127">
        <v>155.76000000000002</v>
      </c>
      <c r="I198" s="132">
        <v>200.5</v>
      </c>
      <c r="J198" s="127">
        <v>222.83</v>
      </c>
      <c r="K198" s="127">
        <v>235.12</v>
      </c>
      <c r="L198" s="132">
        <v>211.77</v>
      </c>
      <c r="M198" s="127">
        <v>109.79000000000002</v>
      </c>
      <c r="N198" s="143">
        <v>135.6</v>
      </c>
      <c r="O198" s="126">
        <v>125.46000000000001</v>
      </c>
      <c r="P198" s="170">
        <v>152.6</v>
      </c>
      <c r="Q198" s="128">
        <v>133.57</v>
      </c>
      <c r="R198" s="170">
        <v>179.3</v>
      </c>
      <c r="S198" s="171">
        <v>427.27</v>
      </c>
      <c r="T198" s="136">
        <v>229.32000000000002</v>
      </c>
      <c r="U198" s="136">
        <v>336.30999999999995</v>
      </c>
      <c r="V198" s="136">
        <v>358.19</v>
      </c>
      <c r="W198" s="145">
        <v>478.1</v>
      </c>
      <c r="X198" s="145">
        <v>623.29999999999995</v>
      </c>
      <c r="Y198" s="175">
        <v>656.62</v>
      </c>
      <c r="Z198" s="145">
        <v>131.15</v>
      </c>
      <c r="AA198" s="136"/>
      <c r="AB198" s="145">
        <v>103.84</v>
      </c>
      <c r="AC198" s="145"/>
      <c r="AD198" s="145"/>
      <c r="AE198" s="145"/>
      <c r="AF198" s="145"/>
      <c r="AG198" s="145">
        <v>93.08</v>
      </c>
      <c r="AH198" s="136"/>
      <c r="AI198" s="136"/>
      <c r="AJ198" s="136">
        <v>109.19</v>
      </c>
      <c r="AK198" s="136"/>
      <c r="AL198" s="138"/>
    </row>
    <row r="199" spans="1:38" x14ac:dyDescent="0.35">
      <c r="A199" s="130">
        <v>38261</v>
      </c>
      <c r="B199" s="135">
        <v>459.82</v>
      </c>
      <c r="C199" s="178"/>
      <c r="D199" s="135">
        <v>208.37</v>
      </c>
      <c r="E199" s="132">
        <v>217.14999999999998</v>
      </c>
      <c r="F199" s="132">
        <v>267.44</v>
      </c>
      <c r="G199" s="126">
        <v>155.06</v>
      </c>
      <c r="H199" s="127">
        <v>155.62</v>
      </c>
      <c r="I199" s="132">
        <v>200.5</v>
      </c>
      <c r="J199" s="127">
        <v>222.78</v>
      </c>
      <c r="K199" s="127">
        <v>234.56</v>
      </c>
      <c r="L199" s="132">
        <v>211.74</v>
      </c>
      <c r="M199" s="127">
        <v>109.75000000000001</v>
      </c>
      <c r="N199" s="143">
        <v>135.6</v>
      </c>
      <c r="O199" s="126">
        <v>125.28</v>
      </c>
      <c r="P199" s="170">
        <v>152.6</v>
      </c>
      <c r="Q199" s="128">
        <v>133.34999999999997</v>
      </c>
      <c r="R199" s="170">
        <v>179.3</v>
      </c>
      <c r="S199" s="171">
        <v>427.29999999999995</v>
      </c>
      <c r="T199" s="136">
        <v>229.10000000000002</v>
      </c>
      <c r="U199" s="136">
        <v>336.28</v>
      </c>
      <c r="V199" s="136">
        <v>358.09000000000003</v>
      </c>
      <c r="W199" s="145">
        <v>478.1</v>
      </c>
      <c r="X199" s="145">
        <v>623.29999999999995</v>
      </c>
      <c r="Y199" s="175">
        <v>656.62</v>
      </c>
      <c r="Z199" s="145">
        <v>131.15</v>
      </c>
      <c r="AA199" s="136"/>
      <c r="AB199" s="145">
        <v>103.8</v>
      </c>
      <c r="AC199" s="145"/>
      <c r="AD199" s="145"/>
      <c r="AE199" s="145"/>
      <c r="AF199" s="145"/>
      <c r="AG199" s="145">
        <v>93.07</v>
      </c>
      <c r="AH199" s="136"/>
      <c r="AI199" s="136"/>
      <c r="AJ199" s="136">
        <v>108.95</v>
      </c>
      <c r="AK199" s="136"/>
      <c r="AL199" s="138"/>
    </row>
    <row r="200" spans="1:38" x14ac:dyDescent="0.35">
      <c r="A200" s="130">
        <v>38292</v>
      </c>
      <c r="B200" s="135">
        <v>460.79</v>
      </c>
      <c r="C200" s="178"/>
      <c r="D200" s="135">
        <v>210.79999999999998</v>
      </c>
      <c r="E200" s="132">
        <v>217.63</v>
      </c>
      <c r="F200" s="132">
        <v>269.04000000000002</v>
      </c>
      <c r="G200" s="126">
        <v>160.19</v>
      </c>
      <c r="H200" s="127">
        <v>158.34</v>
      </c>
      <c r="I200" s="132">
        <v>212.48000000000002</v>
      </c>
      <c r="J200" s="127">
        <v>222.92000000000002</v>
      </c>
      <c r="K200" s="127">
        <v>237.11</v>
      </c>
      <c r="L200" s="132">
        <v>211.59</v>
      </c>
      <c r="M200" s="127">
        <v>109.81</v>
      </c>
      <c r="N200" s="143">
        <v>135.6</v>
      </c>
      <c r="O200" s="126">
        <v>125.14000000000001</v>
      </c>
      <c r="P200" s="170">
        <v>152.6</v>
      </c>
      <c r="Q200" s="128">
        <v>132.56</v>
      </c>
      <c r="R200" s="170">
        <v>179.3</v>
      </c>
      <c r="S200" s="171">
        <v>429.52</v>
      </c>
      <c r="T200" s="136">
        <v>228.87</v>
      </c>
      <c r="U200" s="136">
        <v>336.61999999999995</v>
      </c>
      <c r="V200" s="136">
        <v>357.87</v>
      </c>
      <c r="W200" s="145">
        <v>478.1</v>
      </c>
      <c r="X200" s="145">
        <v>623.29999999999995</v>
      </c>
      <c r="Y200" s="175">
        <v>656.62</v>
      </c>
      <c r="Z200" s="145">
        <v>131.22</v>
      </c>
      <c r="AA200" s="136"/>
      <c r="AB200" s="145">
        <v>103.76</v>
      </c>
      <c r="AC200" s="145"/>
      <c r="AD200" s="145"/>
      <c r="AE200" s="145"/>
      <c r="AF200" s="145"/>
      <c r="AG200" s="145">
        <v>93.14</v>
      </c>
      <c r="AH200" s="136"/>
      <c r="AI200" s="136"/>
      <c r="AJ200" s="136">
        <v>108.78999999999999</v>
      </c>
      <c r="AK200" s="136"/>
      <c r="AL200" s="138"/>
    </row>
    <row r="201" spans="1:38" x14ac:dyDescent="0.35">
      <c r="A201" s="130">
        <v>38322</v>
      </c>
      <c r="B201" s="135">
        <v>459.84000000000003</v>
      </c>
      <c r="C201" s="178"/>
      <c r="D201" s="135">
        <v>208.75</v>
      </c>
      <c r="E201" s="132">
        <v>217.72</v>
      </c>
      <c r="F201" s="132">
        <v>269.29000000000002</v>
      </c>
      <c r="G201" s="126">
        <v>159.55000000000001</v>
      </c>
      <c r="H201" s="127">
        <v>157.27000000000001</v>
      </c>
      <c r="I201" s="132">
        <v>212.8</v>
      </c>
      <c r="J201" s="127">
        <v>222.85000000000002</v>
      </c>
      <c r="K201" s="127">
        <v>237.88</v>
      </c>
      <c r="L201" s="132">
        <v>211.74</v>
      </c>
      <c r="M201" s="127">
        <v>109.72000000000001</v>
      </c>
      <c r="N201" s="143">
        <v>135.6</v>
      </c>
      <c r="O201" s="126">
        <v>124.93</v>
      </c>
      <c r="P201" s="170">
        <v>152.6</v>
      </c>
      <c r="Q201" s="128">
        <v>132.21999999999997</v>
      </c>
      <c r="R201" s="170">
        <v>179.3</v>
      </c>
      <c r="S201" s="171">
        <v>428.97999999999996</v>
      </c>
      <c r="T201" s="136">
        <v>228.73000000000002</v>
      </c>
      <c r="U201" s="136">
        <v>336.5</v>
      </c>
      <c r="V201" s="136">
        <v>357.75</v>
      </c>
      <c r="W201" s="145">
        <v>478.1</v>
      </c>
      <c r="X201" s="145">
        <v>623.29999999999995</v>
      </c>
      <c r="Y201" s="175">
        <v>656.62</v>
      </c>
      <c r="Z201" s="145">
        <v>131.19</v>
      </c>
      <c r="AA201" s="136"/>
      <c r="AB201" s="145">
        <v>103.71000000000001</v>
      </c>
      <c r="AC201" s="145"/>
      <c r="AD201" s="145"/>
      <c r="AE201" s="145"/>
      <c r="AF201" s="145"/>
      <c r="AG201" s="145">
        <v>93.210000000000008</v>
      </c>
      <c r="AH201" s="136"/>
      <c r="AI201" s="136"/>
      <c r="AJ201" s="136">
        <v>108.59</v>
      </c>
      <c r="AK201" s="136"/>
      <c r="AL201" s="138"/>
    </row>
    <row r="202" spans="1:38" x14ac:dyDescent="0.35">
      <c r="A202" s="130">
        <v>38353</v>
      </c>
      <c r="B202" s="135">
        <v>459.95</v>
      </c>
      <c r="C202" s="178"/>
      <c r="D202" s="135">
        <v>210.17</v>
      </c>
      <c r="E202" s="132">
        <v>219.95999999999998</v>
      </c>
      <c r="F202" s="132">
        <v>273.42</v>
      </c>
      <c r="G202" s="126">
        <v>168.92000000000002</v>
      </c>
      <c r="H202" s="127">
        <v>161.69</v>
      </c>
      <c r="I202" s="132">
        <v>212.70000000000002</v>
      </c>
      <c r="J202" s="127">
        <v>227.03</v>
      </c>
      <c r="K202" s="127">
        <v>245.23</v>
      </c>
      <c r="L202" s="132">
        <v>214.13</v>
      </c>
      <c r="M202" s="127">
        <v>114.02000000000001</v>
      </c>
      <c r="N202" s="143">
        <v>135.6</v>
      </c>
      <c r="O202" s="126">
        <v>127.92000000000002</v>
      </c>
      <c r="P202" s="170">
        <v>152.6</v>
      </c>
      <c r="Q202" s="128">
        <v>146.5</v>
      </c>
      <c r="R202" s="170">
        <v>179.3</v>
      </c>
      <c r="S202" s="171">
        <v>431.15999999999997</v>
      </c>
      <c r="T202" s="136">
        <v>228.90000000000003</v>
      </c>
      <c r="U202" s="136">
        <v>336.52</v>
      </c>
      <c r="V202" s="136">
        <v>357.76</v>
      </c>
      <c r="W202" s="145">
        <v>478.1</v>
      </c>
      <c r="X202" s="145">
        <v>623.29999999999995</v>
      </c>
      <c r="Y202" s="175">
        <v>656.62</v>
      </c>
      <c r="Z202" s="145">
        <v>132.9</v>
      </c>
      <c r="AA202" s="136"/>
      <c r="AB202" s="145">
        <v>103.67</v>
      </c>
      <c r="AC202" s="145"/>
      <c r="AD202" s="145"/>
      <c r="AE202" s="145"/>
      <c r="AF202" s="145"/>
      <c r="AG202" s="145">
        <v>95.05</v>
      </c>
      <c r="AH202" s="136"/>
      <c r="AI202" s="136"/>
      <c r="AJ202" s="136">
        <v>106.2</v>
      </c>
      <c r="AK202" s="136"/>
      <c r="AL202" s="138"/>
    </row>
    <row r="203" spans="1:38" x14ac:dyDescent="0.35">
      <c r="A203" s="130">
        <v>38384</v>
      </c>
      <c r="B203" s="135">
        <v>460.43</v>
      </c>
      <c r="C203" s="178"/>
      <c r="D203" s="135">
        <v>210.98</v>
      </c>
      <c r="E203" s="132">
        <v>219.95</v>
      </c>
      <c r="F203" s="132">
        <v>273.87</v>
      </c>
      <c r="G203" s="126">
        <v>164.91000000000003</v>
      </c>
      <c r="H203" s="127">
        <v>160.12</v>
      </c>
      <c r="I203" s="132">
        <v>213.10000000000002</v>
      </c>
      <c r="J203" s="127">
        <v>226.13</v>
      </c>
      <c r="K203" s="127">
        <v>241.85</v>
      </c>
      <c r="L203" s="132">
        <v>213.42000000000002</v>
      </c>
      <c r="M203" s="127">
        <v>115.65</v>
      </c>
      <c r="N203" s="143">
        <v>135.6</v>
      </c>
      <c r="O203" s="126">
        <v>130.15</v>
      </c>
      <c r="P203" s="170">
        <v>152.6</v>
      </c>
      <c r="Q203" s="128">
        <v>149.88999999999999</v>
      </c>
      <c r="R203" s="170">
        <v>179.3</v>
      </c>
      <c r="S203" s="171">
        <v>430.59999999999997</v>
      </c>
      <c r="T203" s="136">
        <v>229.73000000000002</v>
      </c>
      <c r="U203" s="136">
        <v>336.57</v>
      </c>
      <c r="V203" s="136">
        <v>358.05</v>
      </c>
      <c r="W203" s="145">
        <v>478.1</v>
      </c>
      <c r="X203" s="145">
        <v>623.29999999999995</v>
      </c>
      <c r="Y203" s="175">
        <v>656.62</v>
      </c>
      <c r="Z203" s="145">
        <v>134.92000000000002</v>
      </c>
      <c r="AA203" s="136"/>
      <c r="AB203" s="145">
        <v>103.65</v>
      </c>
      <c r="AC203" s="145"/>
      <c r="AD203" s="145"/>
      <c r="AE203" s="145"/>
      <c r="AF203" s="145"/>
      <c r="AG203" s="145">
        <v>93.75</v>
      </c>
      <c r="AH203" s="136"/>
      <c r="AI203" s="136"/>
      <c r="AJ203" s="136">
        <v>111.8</v>
      </c>
      <c r="AK203" s="136"/>
      <c r="AL203" s="138"/>
    </row>
    <row r="204" spans="1:38" x14ac:dyDescent="0.35">
      <c r="A204" s="130">
        <v>38412</v>
      </c>
      <c r="B204" s="135">
        <v>460.32</v>
      </c>
      <c r="C204" s="178"/>
      <c r="D204" s="135">
        <v>212.01999999999998</v>
      </c>
      <c r="E204" s="132">
        <v>220.79999999999998</v>
      </c>
      <c r="F204" s="132">
        <v>274.02000000000004</v>
      </c>
      <c r="G204" s="126">
        <v>165.62</v>
      </c>
      <c r="H204" s="127">
        <v>161.81</v>
      </c>
      <c r="I204" s="132">
        <v>211.35000000000002</v>
      </c>
      <c r="J204" s="127">
        <v>227.49</v>
      </c>
      <c r="K204" s="127">
        <v>243.3</v>
      </c>
      <c r="L204" s="132">
        <v>214.34</v>
      </c>
      <c r="M204" s="127">
        <v>118.92000000000002</v>
      </c>
      <c r="N204" s="143">
        <v>135.6</v>
      </c>
      <c r="O204" s="126">
        <v>133.84</v>
      </c>
      <c r="P204" s="170">
        <v>152.6</v>
      </c>
      <c r="Q204" s="128">
        <v>158.21999999999997</v>
      </c>
      <c r="R204" s="170">
        <v>179.3</v>
      </c>
      <c r="S204" s="171">
        <v>432.09</v>
      </c>
      <c r="T204" s="136">
        <v>231.18</v>
      </c>
      <c r="U204" s="136">
        <v>336.94</v>
      </c>
      <c r="V204" s="136">
        <v>358.16</v>
      </c>
      <c r="W204" s="145">
        <v>478.1</v>
      </c>
      <c r="X204" s="145">
        <v>623.29999999999995</v>
      </c>
      <c r="Y204" s="175">
        <v>656.62</v>
      </c>
      <c r="Z204" s="145">
        <v>137.5</v>
      </c>
      <c r="AA204" s="136"/>
      <c r="AB204" s="145">
        <v>103.7</v>
      </c>
      <c r="AC204" s="145"/>
      <c r="AD204" s="145"/>
      <c r="AE204" s="145"/>
      <c r="AF204" s="145"/>
      <c r="AG204" s="145">
        <v>96.259999999999991</v>
      </c>
      <c r="AH204" s="136"/>
      <c r="AI204" s="136"/>
      <c r="AJ204" s="136">
        <v>114.9</v>
      </c>
      <c r="AK204" s="136"/>
      <c r="AL204" s="138"/>
    </row>
    <row r="205" spans="1:38" x14ac:dyDescent="0.35">
      <c r="A205" s="130">
        <v>38443</v>
      </c>
      <c r="B205" s="135">
        <v>460.03</v>
      </c>
      <c r="C205" s="178"/>
      <c r="D205" s="135">
        <v>212.25</v>
      </c>
      <c r="E205" s="132">
        <v>220.62</v>
      </c>
      <c r="F205" s="132">
        <v>274.10000000000002</v>
      </c>
      <c r="G205" s="126">
        <v>161.85000000000002</v>
      </c>
      <c r="H205" s="127">
        <v>160.27000000000001</v>
      </c>
      <c r="I205" s="132">
        <v>203.25</v>
      </c>
      <c r="J205" s="127">
        <v>225.77</v>
      </c>
      <c r="K205" s="127">
        <v>241.87</v>
      </c>
      <c r="L205" s="132">
        <v>213.71</v>
      </c>
      <c r="M205" s="127">
        <v>118.19000000000001</v>
      </c>
      <c r="N205" s="135">
        <v>138.01000000000002</v>
      </c>
      <c r="O205" s="126">
        <v>135.33000000000001</v>
      </c>
      <c r="P205" s="170">
        <v>152.6</v>
      </c>
      <c r="Q205" s="128">
        <v>159.63</v>
      </c>
      <c r="R205" s="170">
        <v>179.3</v>
      </c>
      <c r="S205" s="171">
        <v>431.57</v>
      </c>
      <c r="T205" s="136">
        <v>232.81</v>
      </c>
      <c r="U205" s="136">
        <v>337.03</v>
      </c>
      <c r="V205" s="136">
        <v>358.43</v>
      </c>
      <c r="W205" s="145">
        <v>478.1</v>
      </c>
      <c r="X205" s="145">
        <v>623.29999999999995</v>
      </c>
      <c r="Y205" s="175">
        <v>656.62</v>
      </c>
      <c r="Z205" s="145">
        <v>135.34</v>
      </c>
      <c r="AA205" s="136"/>
      <c r="AB205" s="145">
        <v>104</v>
      </c>
      <c r="AC205" s="145"/>
      <c r="AD205" s="145"/>
      <c r="AE205" s="145"/>
      <c r="AF205" s="145"/>
      <c r="AG205" s="145">
        <v>94.78</v>
      </c>
      <c r="AH205" s="136"/>
      <c r="AI205" s="136"/>
      <c r="AJ205" s="136">
        <v>118.39</v>
      </c>
      <c r="AK205" s="136"/>
      <c r="AL205" s="138"/>
    </row>
    <row r="206" spans="1:38" x14ac:dyDescent="0.35">
      <c r="A206" s="130">
        <v>38473</v>
      </c>
      <c r="B206" s="135">
        <v>460.29</v>
      </c>
      <c r="C206" s="178"/>
      <c r="D206" s="135">
        <v>212.32999999999998</v>
      </c>
      <c r="E206" s="132">
        <v>220.62</v>
      </c>
      <c r="F206" s="132">
        <v>272.91000000000003</v>
      </c>
      <c r="G206" s="126">
        <v>159.64000000000001</v>
      </c>
      <c r="H206" s="127">
        <v>159.9</v>
      </c>
      <c r="I206" s="132">
        <v>200.5</v>
      </c>
      <c r="J206" s="127">
        <v>224.79000000000002</v>
      </c>
      <c r="K206" s="127">
        <v>239.77</v>
      </c>
      <c r="L206" s="132">
        <v>213.06</v>
      </c>
      <c r="M206" s="127">
        <v>117.50000000000001</v>
      </c>
      <c r="N206" s="143">
        <v>135.6</v>
      </c>
      <c r="O206" s="126">
        <v>135.02000000000001</v>
      </c>
      <c r="P206" s="170">
        <v>152.6</v>
      </c>
      <c r="Q206" s="128">
        <v>155.69</v>
      </c>
      <c r="R206" s="170">
        <v>179.3</v>
      </c>
      <c r="S206" s="171">
        <v>430.34</v>
      </c>
      <c r="T206" s="136">
        <v>233.78000000000003</v>
      </c>
      <c r="U206" s="136">
        <v>337</v>
      </c>
      <c r="V206" s="136">
        <v>358.56</v>
      </c>
      <c r="W206" s="145">
        <v>478.1</v>
      </c>
      <c r="X206" s="145">
        <v>623.29999999999995</v>
      </c>
      <c r="Y206" s="175">
        <v>656.62</v>
      </c>
      <c r="Z206" s="145">
        <v>133.65</v>
      </c>
      <c r="AA206" s="136"/>
      <c r="AB206" s="145">
        <v>104.21000000000001</v>
      </c>
      <c r="AC206" s="145"/>
      <c r="AD206" s="145"/>
      <c r="AE206" s="145"/>
      <c r="AF206" s="145"/>
      <c r="AG206" s="145">
        <v>94.72999999999999</v>
      </c>
      <c r="AH206" s="136"/>
      <c r="AI206" s="136"/>
      <c r="AJ206" s="136">
        <v>120</v>
      </c>
      <c r="AK206" s="136"/>
      <c r="AL206" s="138"/>
    </row>
    <row r="207" spans="1:38" x14ac:dyDescent="0.35">
      <c r="A207" s="130">
        <v>38504</v>
      </c>
      <c r="B207" s="135">
        <v>460.25</v>
      </c>
      <c r="C207" s="178"/>
      <c r="D207" s="135">
        <v>212.23999999999998</v>
      </c>
      <c r="E207" s="132">
        <v>220.45</v>
      </c>
      <c r="F207" s="132">
        <v>272.01</v>
      </c>
      <c r="G207" s="126">
        <v>159.33000000000001</v>
      </c>
      <c r="H207" s="127">
        <v>159.04000000000002</v>
      </c>
      <c r="I207" s="132">
        <v>200.5</v>
      </c>
      <c r="J207" s="127">
        <v>224.25</v>
      </c>
      <c r="K207" s="127">
        <v>238.83</v>
      </c>
      <c r="L207" s="132">
        <v>212.67000000000002</v>
      </c>
      <c r="M207" s="127">
        <v>116.63000000000001</v>
      </c>
      <c r="N207" s="143">
        <v>135.6</v>
      </c>
      <c r="O207" s="126">
        <v>134.44</v>
      </c>
      <c r="P207" s="170">
        <v>152.6</v>
      </c>
      <c r="Q207" s="128">
        <v>153.66999999999999</v>
      </c>
      <c r="R207" s="170">
        <v>179.3</v>
      </c>
      <c r="S207" s="171">
        <v>429.37</v>
      </c>
      <c r="T207" s="136">
        <v>233.98000000000002</v>
      </c>
      <c r="U207" s="136">
        <v>337.09999999999997</v>
      </c>
      <c r="V207" s="136">
        <v>358.66</v>
      </c>
      <c r="W207" s="145">
        <v>478.1</v>
      </c>
      <c r="X207" s="145">
        <v>623.29999999999995</v>
      </c>
      <c r="Y207" s="175">
        <v>656.62</v>
      </c>
      <c r="Z207" s="145">
        <v>132.65</v>
      </c>
      <c r="AA207" s="136"/>
      <c r="AB207" s="145">
        <v>104.38</v>
      </c>
      <c r="AC207" s="145"/>
      <c r="AD207" s="145"/>
      <c r="AE207" s="145"/>
      <c r="AF207" s="145"/>
      <c r="AG207" s="145">
        <v>94.67</v>
      </c>
      <c r="AH207" s="136"/>
      <c r="AI207" s="136"/>
      <c r="AJ207" s="136">
        <v>120.4</v>
      </c>
      <c r="AK207" s="136"/>
      <c r="AL207" s="138"/>
    </row>
    <row r="208" spans="1:38" x14ac:dyDescent="0.35">
      <c r="A208" s="130">
        <v>38534</v>
      </c>
      <c r="B208" s="135">
        <v>460.24</v>
      </c>
      <c r="C208" s="178"/>
      <c r="D208" s="135">
        <v>212.07</v>
      </c>
      <c r="E208" s="132">
        <v>220.44</v>
      </c>
      <c r="F208" s="132">
        <v>271.48</v>
      </c>
      <c r="G208" s="126">
        <v>157.4</v>
      </c>
      <c r="H208" s="127">
        <v>157.41000000000003</v>
      </c>
      <c r="I208" s="132">
        <v>200.5</v>
      </c>
      <c r="J208" s="127">
        <v>223.85000000000002</v>
      </c>
      <c r="K208" s="127">
        <v>237.95</v>
      </c>
      <c r="L208" s="132">
        <v>212.38</v>
      </c>
      <c r="M208" s="127">
        <v>115.57000000000002</v>
      </c>
      <c r="N208" s="135">
        <v>138.38</v>
      </c>
      <c r="O208" s="126">
        <v>133.84</v>
      </c>
      <c r="P208" s="170">
        <v>152.6</v>
      </c>
      <c r="Q208" s="128">
        <v>151.63</v>
      </c>
      <c r="R208" s="170">
        <v>179.3</v>
      </c>
      <c r="S208" s="171">
        <v>428.74</v>
      </c>
      <c r="T208" s="136">
        <v>234.15000000000003</v>
      </c>
      <c r="U208" s="136">
        <v>337.09999999999997</v>
      </c>
      <c r="V208" s="136">
        <v>358.71000000000004</v>
      </c>
      <c r="W208" s="145">
        <v>478.1</v>
      </c>
      <c r="X208" s="145">
        <v>623.29999999999995</v>
      </c>
      <c r="Y208" s="175">
        <v>656.62</v>
      </c>
      <c r="Z208" s="145">
        <v>132.32</v>
      </c>
      <c r="AA208" s="136"/>
      <c r="AB208" s="145">
        <v>104.56</v>
      </c>
      <c r="AC208" s="145"/>
      <c r="AD208" s="145"/>
      <c r="AE208" s="145"/>
      <c r="AF208" s="145"/>
      <c r="AG208" s="145">
        <v>94.59</v>
      </c>
      <c r="AH208" s="136"/>
      <c r="AI208" s="136"/>
      <c r="AJ208" s="136">
        <v>120.15</v>
      </c>
      <c r="AK208" s="136"/>
      <c r="AL208" s="138"/>
    </row>
    <row r="209" spans="1:38" x14ac:dyDescent="0.35">
      <c r="A209" s="130">
        <v>38565</v>
      </c>
      <c r="B209" s="135">
        <v>460.19</v>
      </c>
      <c r="C209" s="178"/>
      <c r="D209" s="135">
        <v>212.1</v>
      </c>
      <c r="E209" s="132">
        <v>220.59</v>
      </c>
      <c r="F209" s="132">
        <v>270.96000000000004</v>
      </c>
      <c r="G209" s="126">
        <v>156.97000000000003</v>
      </c>
      <c r="H209" s="127">
        <v>156.97000000000003</v>
      </c>
      <c r="I209" s="132">
        <v>212.18</v>
      </c>
      <c r="J209" s="127">
        <v>223.59</v>
      </c>
      <c r="K209" s="127">
        <v>238.16</v>
      </c>
      <c r="L209" s="132">
        <v>212.21</v>
      </c>
      <c r="M209" s="127">
        <v>114.74000000000001</v>
      </c>
      <c r="N209" s="143">
        <v>135.6</v>
      </c>
      <c r="O209" s="126">
        <v>133.29000000000002</v>
      </c>
      <c r="P209" s="170">
        <v>152.6</v>
      </c>
      <c r="Q209" s="128">
        <v>149.66</v>
      </c>
      <c r="R209" s="170">
        <v>179.3</v>
      </c>
      <c r="S209" s="171">
        <v>427.99</v>
      </c>
      <c r="T209" s="136">
        <v>234.17000000000002</v>
      </c>
      <c r="U209" s="136">
        <v>337.07</v>
      </c>
      <c r="V209" s="136">
        <v>358.77000000000004</v>
      </c>
      <c r="W209" s="145">
        <v>478.1</v>
      </c>
      <c r="X209" s="145">
        <v>623.29999999999995</v>
      </c>
      <c r="Y209" s="175">
        <v>656.62</v>
      </c>
      <c r="Z209" s="145">
        <v>132.22</v>
      </c>
      <c r="AA209" s="136"/>
      <c r="AB209" s="145">
        <v>104.73</v>
      </c>
      <c r="AC209" s="145"/>
      <c r="AD209" s="145"/>
      <c r="AE209" s="145"/>
      <c r="AF209" s="145"/>
      <c r="AG209" s="145">
        <v>94.52000000000001</v>
      </c>
      <c r="AH209" s="136"/>
      <c r="AI209" s="136"/>
      <c r="AJ209" s="136">
        <v>119.50999999999999</v>
      </c>
      <c r="AK209" s="136"/>
      <c r="AL209" s="138"/>
    </row>
    <row r="210" spans="1:38" x14ac:dyDescent="0.35">
      <c r="A210" s="130">
        <v>38596</v>
      </c>
      <c r="B210" s="135">
        <v>460.09000000000003</v>
      </c>
      <c r="C210" s="178"/>
      <c r="D210" s="135">
        <v>211.82</v>
      </c>
      <c r="E210" s="132">
        <v>220.26999999999998</v>
      </c>
      <c r="F210" s="132">
        <v>270.59000000000003</v>
      </c>
      <c r="G210" s="126">
        <v>156.60000000000002</v>
      </c>
      <c r="H210" s="127">
        <v>156.72000000000003</v>
      </c>
      <c r="I210" s="132">
        <v>209.63000000000002</v>
      </c>
      <c r="J210" s="127">
        <v>223.39000000000001</v>
      </c>
      <c r="K210" s="127">
        <v>237.3</v>
      </c>
      <c r="L210" s="132">
        <v>212.06</v>
      </c>
      <c r="M210" s="127">
        <v>113.97000000000001</v>
      </c>
      <c r="N210" s="143">
        <v>135.6</v>
      </c>
      <c r="O210" s="126">
        <v>132.79000000000002</v>
      </c>
      <c r="P210" s="170">
        <v>152.6</v>
      </c>
      <c r="Q210" s="128">
        <v>147.96999999999997</v>
      </c>
      <c r="R210" s="170">
        <v>179.3</v>
      </c>
      <c r="S210" s="171">
        <v>427.26</v>
      </c>
      <c r="T210" s="136">
        <v>234.23000000000002</v>
      </c>
      <c r="U210" s="136">
        <v>337.07</v>
      </c>
      <c r="V210" s="136">
        <v>358.78000000000003</v>
      </c>
      <c r="W210" s="145">
        <v>478.1</v>
      </c>
      <c r="X210" s="145">
        <v>623.29999999999995</v>
      </c>
      <c r="Y210" s="175">
        <v>656.62</v>
      </c>
      <c r="Z210" s="145">
        <v>132.17000000000002</v>
      </c>
      <c r="AA210" s="136"/>
      <c r="AB210" s="145">
        <v>104.91</v>
      </c>
      <c r="AC210" s="145"/>
      <c r="AD210" s="145"/>
      <c r="AE210" s="145"/>
      <c r="AF210" s="145"/>
      <c r="AG210" s="145">
        <v>94.45</v>
      </c>
      <c r="AH210" s="136"/>
      <c r="AI210" s="136"/>
      <c r="AJ210" s="136">
        <v>118.75999999999999</v>
      </c>
      <c r="AK210" s="136"/>
      <c r="AL210" s="138"/>
    </row>
    <row r="211" spans="1:38" x14ac:dyDescent="0.35">
      <c r="A211" s="130">
        <v>38626</v>
      </c>
      <c r="B211" s="135">
        <v>460.19</v>
      </c>
      <c r="C211" s="178"/>
      <c r="D211" s="135">
        <v>211.70999999999998</v>
      </c>
      <c r="E211" s="132">
        <v>220.16</v>
      </c>
      <c r="F211" s="132">
        <v>270.19</v>
      </c>
      <c r="G211" s="126">
        <v>156.26000000000002</v>
      </c>
      <c r="H211" s="127">
        <v>156.56</v>
      </c>
      <c r="I211" s="132">
        <v>200.5</v>
      </c>
      <c r="J211" s="127">
        <v>223.25</v>
      </c>
      <c r="K211" s="127">
        <v>236.86</v>
      </c>
      <c r="L211" s="132">
        <v>211.92000000000002</v>
      </c>
      <c r="M211" s="127">
        <v>113.22000000000001</v>
      </c>
      <c r="N211" s="143">
        <v>135.6</v>
      </c>
      <c r="O211" s="126">
        <v>132.39000000000001</v>
      </c>
      <c r="P211" s="170">
        <v>152.6</v>
      </c>
      <c r="Q211" s="128">
        <v>146.48999999999998</v>
      </c>
      <c r="R211" s="170">
        <v>179.3</v>
      </c>
      <c r="S211" s="174">
        <v>427</v>
      </c>
      <c r="T211" s="136">
        <v>234.18</v>
      </c>
      <c r="U211" s="136">
        <v>337.17999999999995</v>
      </c>
      <c r="V211" s="136">
        <v>358.97</v>
      </c>
      <c r="W211" s="145">
        <v>478.1</v>
      </c>
      <c r="X211" s="145">
        <v>623.29999999999995</v>
      </c>
      <c r="Y211" s="175">
        <v>656.62</v>
      </c>
      <c r="Z211" s="145">
        <v>132.15</v>
      </c>
      <c r="AA211" s="136"/>
      <c r="AB211" s="145">
        <v>105.05</v>
      </c>
      <c r="AC211" s="145"/>
      <c r="AD211" s="145"/>
      <c r="AE211" s="145"/>
      <c r="AF211" s="145"/>
      <c r="AG211" s="145">
        <v>94.460000000000008</v>
      </c>
      <c r="AH211" s="136"/>
      <c r="AI211" s="136"/>
      <c r="AJ211" s="136">
        <v>118.02000000000001</v>
      </c>
      <c r="AK211" s="136"/>
      <c r="AL211" s="138"/>
    </row>
    <row r="212" spans="1:38" x14ac:dyDescent="0.35">
      <c r="A212" s="130">
        <v>38657</v>
      </c>
      <c r="B212" s="135">
        <v>460.15999999999997</v>
      </c>
      <c r="C212" s="178"/>
      <c r="D212" s="135">
        <v>211.62</v>
      </c>
      <c r="E212" s="132">
        <v>220.10999999999999</v>
      </c>
      <c r="F212" s="132">
        <v>270.61</v>
      </c>
      <c r="G212" s="126">
        <v>157.5</v>
      </c>
      <c r="H212" s="127">
        <v>156.62</v>
      </c>
      <c r="I212" s="132">
        <v>212.60000000000002</v>
      </c>
      <c r="J212" s="127">
        <v>223.11</v>
      </c>
      <c r="K212" s="127">
        <v>237.02</v>
      </c>
      <c r="L212" s="132">
        <v>211.81</v>
      </c>
      <c r="M212" s="127">
        <v>112.55000000000001</v>
      </c>
      <c r="N212" s="143">
        <v>135.6</v>
      </c>
      <c r="O212" s="126">
        <v>131.92000000000002</v>
      </c>
      <c r="P212" s="170">
        <v>152.6</v>
      </c>
      <c r="Q212" s="128">
        <v>145.21999999999997</v>
      </c>
      <c r="R212" s="170">
        <v>179.3</v>
      </c>
      <c r="S212" s="171">
        <v>427.21</v>
      </c>
      <c r="T212" s="136">
        <v>233.58</v>
      </c>
      <c r="U212" s="136">
        <v>337.05999999999995</v>
      </c>
      <c r="V212" s="136">
        <v>358.92</v>
      </c>
      <c r="W212" s="145">
        <v>478.1</v>
      </c>
      <c r="X212" s="145">
        <v>623.29999999999995</v>
      </c>
      <c r="Y212" s="175">
        <v>656.62</v>
      </c>
      <c r="Z212" s="145">
        <v>132.13</v>
      </c>
      <c r="AA212" s="136"/>
      <c r="AB212" s="145">
        <v>105.15</v>
      </c>
      <c r="AC212" s="145"/>
      <c r="AD212" s="145"/>
      <c r="AE212" s="145"/>
      <c r="AF212" s="145"/>
      <c r="AG212" s="145">
        <v>94.47999999999999</v>
      </c>
      <c r="AH212" s="136"/>
      <c r="AI212" s="136"/>
      <c r="AJ212" s="136">
        <v>117.2</v>
      </c>
      <c r="AK212" s="136"/>
      <c r="AL212" s="138"/>
    </row>
    <row r="213" spans="1:38" x14ac:dyDescent="0.35">
      <c r="A213" s="130">
        <v>38687</v>
      </c>
      <c r="B213" s="135">
        <v>460.15999999999997</v>
      </c>
      <c r="C213" s="178"/>
      <c r="D213" s="135">
        <v>211.54999999999998</v>
      </c>
      <c r="E213" s="132">
        <v>219.93</v>
      </c>
      <c r="F213" s="132">
        <v>270.11</v>
      </c>
      <c r="G213" s="126">
        <v>156.67000000000002</v>
      </c>
      <c r="H213" s="127">
        <v>156.67000000000002</v>
      </c>
      <c r="I213" s="132">
        <v>208.44</v>
      </c>
      <c r="J213" s="127">
        <v>223</v>
      </c>
      <c r="K213" s="127">
        <v>236.53</v>
      </c>
      <c r="L213" s="132">
        <v>211.69</v>
      </c>
      <c r="M213" s="127">
        <v>111.87</v>
      </c>
      <c r="N213" s="143">
        <v>135.6</v>
      </c>
      <c r="O213" s="126">
        <v>131.41000000000003</v>
      </c>
      <c r="P213" s="170">
        <v>152.6</v>
      </c>
      <c r="Q213" s="128">
        <v>143.98999999999998</v>
      </c>
      <c r="R213" s="170">
        <v>179.3</v>
      </c>
      <c r="S213" s="174">
        <v>427</v>
      </c>
      <c r="T213" s="136">
        <v>233.10000000000002</v>
      </c>
      <c r="U213" s="136">
        <v>336.98999999999995</v>
      </c>
      <c r="V213" s="136">
        <v>358.94</v>
      </c>
      <c r="W213" s="145">
        <v>478.1</v>
      </c>
      <c r="X213" s="145">
        <v>623.29999999999995</v>
      </c>
      <c r="Y213" s="175">
        <v>656.62</v>
      </c>
      <c r="Z213" s="145">
        <v>132.07999999999998</v>
      </c>
      <c r="AA213" s="136"/>
      <c r="AB213" s="145">
        <v>105.2</v>
      </c>
      <c r="AC213" s="145"/>
      <c r="AD213" s="145"/>
      <c r="AE213" s="145"/>
      <c r="AF213" s="145"/>
      <c r="AG213" s="145">
        <v>94.53</v>
      </c>
      <c r="AH213" s="136"/>
      <c r="AI213" s="136"/>
      <c r="AJ213" s="136">
        <v>116.25</v>
      </c>
      <c r="AK213" s="136"/>
      <c r="AL213" s="138"/>
    </row>
    <row r="214" spans="1:38" x14ac:dyDescent="0.35">
      <c r="A214" s="130">
        <v>38718</v>
      </c>
      <c r="B214" s="135">
        <v>460.03</v>
      </c>
      <c r="C214" s="178"/>
      <c r="D214" s="135">
        <v>211.37</v>
      </c>
      <c r="E214" s="132">
        <v>217.84</v>
      </c>
      <c r="F214" s="132">
        <v>270.79000000000002</v>
      </c>
      <c r="G214" s="126">
        <v>160.23000000000002</v>
      </c>
      <c r="H214" s="127">
        <v>157.99</v>
      </c>
      <c r="I214" s="132">
        <v>211.95000000000002</v>
      </c>
      <c r="J214" s="127">
        <v>222.94</v>
      </c>
      <c r="K214" s="127">
        <v>237.69</v>
      </c>
      <c r="L214" s="132">
        <v>211.73000000000002</v>
      </c>
      <c r="M214" s="127">
        <v>111.42000000000002</v>
      </c>
      <c r="N214" s="143">
        <v>135.6</v>
      </c>
      <c r="O214" s="126">
        <v>130.76000000000002</v>
      </c>
      <c r="P214" s="170">
        <v>152.6</v>
      </c>
      <c r="Q214" s="128">
        <v>142.63999999999999</v>
      </c>
      <c r="R214" s="170">
        <v>179.3</v>
      </c>
      <c r="S214" s="174">
        <v>427</v>
      </c>
      <c r="T214" s="136">
        <v>232.53000000000003</v>
      </c>
      <c r="U214" s="136">
        <v>337.03999999999996</v>
      </c>
      <c r="V214" s="136">
        <v>358.92</v>
      </c>
      <c r="W214" s="145">
        <v>478.1</v>
      </c>
      <c r="X214" s="145">
        <v>623.29999999999995</v>
      </c>
      <c r="Y214" s="175">
        <v>656.62</v>
      </c>
      <c r="Z214" s="145">
        <v>132.05000000000001</v>
      </c>
      <c r="AA214" s="136"/>
      <c r="AB214" s="145">
        <v>105.07</v>
      </c>
      <c r="AC214" s="145"/>
      <c r="AD214" s="145"/>
      <c r="AE214" s="145"/>
      <c r="AF214" s="145"/>
      <c r="AG214" s="145">
        <v>94.32</v>
      </c>
      <c r="AH214" s="136"/>
      <c r="AI214" s="136"/>
      <c r="AJ214" s="136">
        <v>115.27000000000001</v>
      </c>
      <c r="AK214" s="136"/>
      <c r="AL214" s="138"/>
    </row>
    <row r="215" spans="1:38" x14ac:dyDescent="0.35">
      <c r="A215" s="130">
        <v>38749</v>
      </c>
      <c r="B215" s="135">
        <v>460.48</v>
      </c>
      <c r="C215" s="178"/>
      <c r="D215" s="135">
        <v>211.60999999999999</v>
      </c>
      <c r="E215" s="132">
        <v>219.99</v>
      </c>
      <c r="F215" s="132">
        <v>270.44</v>
      </c>
      <c r="G215" s="126">
        <v>157.68</v>
      </c>
      <c r="H215" s="127">
        <v>157.27000000000001</v>
      </c>
      <c r="I215" s="132">
        <v>207.15</v>
      </c>
      <c r="J215" s="127">
        <v>222.70000000000002</v>
      </c>
      <c r="K215" s="127">
        <v>236.89000000000001</v>
      </c>
      <c r="L215" s="132">
        <v>211.22</v>
      </c>
      <c r="M215" s="127">
        <v>110.73000000000002</v>
      </c>
      <c r="N215" s="143">
        <v>135.6</v>
      </c>
      <c r="O215" s="126">
        <v>130.31</v>
      </c>
      <c r="P215" s="170">
        <v>152.6</v>
      </c>
      <c r="Q215" s="128">
        <v>141.59999999999997</v>
      </c>
      <c r="R215" s="170">
        <v>179.3</v>
      </c>
      <c r="S215" s="171">
        <v>427.53</v>
      </c>
      <c r="T215" s="136">
        <v>232.57000000000002</v>
      </c>
      <c r="U215" s="136">
        <v>337.01</v>
      </c>
      <c r="V215" s="136">
        <v>358.98</v>
      </c>
      <c r="W215" s="145">
        <v>478.1</v>
      </c>
      <c r="X215" s="145">
        <v>623.29999999999995</v>
      </c>
      <c r="Y215" s="175">
        <v>656.62</v>
      </c>
      <c r="Z215" s="145">
        <v>132</v>
      </c>
      <c r="AA215" s="136"/>
      <c r="AB215" s="145">
        <v>105.16</v>
      </c>
      <c r="AC215" s="145"/>
      <c r="AD215" s="145"/>
      <c r="AE215" s="145"/>
      <c r="AF215" s="145"/>
      <c r="AG215" s="145">
        <v>94.55</v>
      </c>
      <c r="AH215" s="136"/>
      <c r="AI215" s="136"/>
      <c r="AJ215" s="136">
        <v>114.52000000000001</v>
      </c>
      <c r="AK215" s="136"/>
      <c r="AL215" s="138"/>
    </row>
    <row r="216" spans="1:38" x14ac:dyDescent="0.35">
      <c r="A216" s="130">
        <v>38777</v>
      </c>
      <c r="B216" s="135">
        <v>465.1</v>
      </c>
      <c r="C216" s="178"/>
      <c r="D216" s="135">
        <v>211.44</v>
      </c>
      <c r="E216" s="132">
        <v>219.82</v>
      </c>
      <c r="F216" s="132">
        <v>270.78000000000003</v>
      </c>
      <c r="G216" s="126">
        <v>160.05000000000001</v>
      </c>
      <c r="H216" s="127">
        <v>158.18</v>
      </c>
      <c r="I216" s="132">
        <v>210.12</v>
      </c>
      <c r="J216" s="127">
        <v>222.49</v>
      </c>
      <c r="K216" s="127">
        <v>237.96</v>
      </c>
      <c r="L216" s="132">
        <v>211.66</v>
      </c>
      <c r="M216" s="127">
        <v>110.48000000000002</v>
      </c>
      <c r="N216" s="143">
        <v>135.6</v>
      </c>
      <c r="O216" s="126">
        <v>129.64000000000001</v>
      </c>
      <c r="P216" s="170">
        <v>152.6</v>
      </c>
      <c r="Q216" s="128">
        <v>150.39999999999998</v>
      </c>
      <c r="R216" s="170">
        <v>179.3</v>
      </c>
      <c r="S216" s="171">
        <v>427.53999999999996</v>
      </c>
      <c r="T216" s="136">
        <v>232.70000000000002</v>
      </c>
      <c r="U216" s="136">
        <v>337.07</v>
      </c>
      <c r="V216" s="136">
        <v>358.99</v>
      </c>
      <c r="W216" s="145">
        <v>478.1</v>
      </c>
      <c r="X216" s="145">
        <v>623.29999999999995</v>
      </c>
      <c r="Y216" s="175">
        <v>656.62</v>
      </c>
      <c r="Z216" s="145">
        <v>131.97999999999999</v>
      </c>
      <c r="AA216" s="136"/>
      <c r="AB216" s="145">
        <v>104.99</v>
      </c>
      <c r="AC216" s="145"/>
      <c r="AD216" s="145"/>
      <c r="AE216" s="145"/>
      <c r="AF216" s="145"/>
      <c r="AG216" s="145">
        <v>94.47</v>
      </c>
      <c r="AH216" s="136"/>
      <c r="AI216" s="136"/>
      <c r="AJ216" s="136">
        <v>113.75</v>
      </c>
      <c r="AK216" s="136"/>
      <c r="AL216" s="138"/>
    </row>
    <row r="217" spans="1:38" x14ac:dyDescent="0.35">
      <c r="A217" s="130">
        <v>38808</v>
      </c>
      <c r="B217" s="135">
        <v>459.98</v>
      </c>
      <c r="C217" s="178"/>
      <c r="D217" s="135">
        <v>211.64</v>
      </c>
      <c r="E217" s="132">
        <v>220.14999999999998</v>
      </c>
      <c r="F217" s="132">
        <v>271.3</v>
      </c>
      <c r="G217" s="126">
        <v>165.36</v>
      </c>
      <c r="H217" s="127">
        <v>160.22000000000003</v>
      </c>
      <c r="I217" s="132">
        <v>211.78</v>
      </c>
      <c r="J217" s="127">
        <v>222.60000000000002</v>
      </c>
      <c r="K217" s="127">
        <v>241.58</v>
      </c>
      <c r="L217" s="132">
        <v>211.8</v>
      </c>
      <c r="M217" s="127">
        <v>111.70000000000002</v>
      </c>
      <c r="N217" s="135">
        <v>139.38</v>
      </c>
      <c r="O217" s="126">
        <v>129.31</v>
      </c>
      <c r="P217" s="170">
        <v>152.6</v>
      </c>
      <c r="Q217" s="128">
        <v>141.54</v>
      </c>
      <c r="R217" s="170">
        <v>179.3</v>
      </c>
      <c r="S217" s="171">
        <v>426.71</v>
      </c>
      <c r="T217" s="136">
        <v>233.15000000000003</v>
      </c>
      <c r="U217" s="136">
        <v>337.28</v>
      </c>
      <c r="V217" s="136">
        <v>358.88</v>
      </c>
      <c r="W217" s="145">
        <v>478.1</v>
      </c>
      <c r="X217" s="145">
        <v>623.29999999999995</v>
      </c>
      <c r="Y217" s="175">
        <v>656.62</v>
      </c>
      <c r="Z217" s="145">
        <v>131.9</v>
      </c>
      <c r="AA217" s="136"/>
      <c r="AB217" s="145">
        <v>104.78</v>
      </c>
      <c r="AC217" s="145"/>
      <c r="AD217" s="145"/>
      <c r="AE217" s="145"/>
      <c r="AF217" s="145"/>
      <c r="AG217" s="145">
        <v>95.97</v>
      </c>
      <c r="AH217" s="136"/>
      <c r="AI217" s="136"/>
      <c r="AJ217" s="136">
        <v>113.89</v>
      </c>
      <c r="AK217" s="136"/>
      <c r="AL217" s="138"/>
    </row>
    <row r="218" spans="1:38" x14ac:dyDescent="0.35">
      <c r="A218" s="130">
        <v>38838</v>
      </c>
      <c r="B218" s="135">
        <v>460.15999999999997</v>
      </c>
      <c r="C218" s="178"/>
      <c r="D218" s="135">
        <v>211.89</v>
      </c>
      <c r="E218" s="132">
        <v>220.26</v>
      </c>
      <c r="F218" s="132">
        <v>272.39</v>
      </c>
      <c r="G218" s="126">
        <v>159.77000000000001</v>
      </c>
      <c r="H218" s="127">
        <v>158.26000000000002</v>
      </c>
      <c r="I218" s="132">
        <v>212.60000000000002</v>
      </c>
      <c r="J218" s="127">
        <v>223.45000000000002</v>
      </c>
      <c r="K218" s="127">
        <v>241.01</v>
      </c>
      <c r="L218" s="132">
        <v>212.26000000000002</v>
      </c>
      <c r="M218" s="127">
        <v>110.80000000000001</v>
      </c>
      <c r="N218" s="135">
        <v>137.58000000000001</v>
      </c>
      <c r="O218" s="126">
        <v>129.62</v>
      </c>
      <c r="P218" s="170">
        <v>152.6</v>
      </c>
      <c r="Q218" s="128">
        <v>139.98999999999998</v>
      </c>
      <c r="R218" s="170">
        <v>179.3</v>
      </c>
      <c r="S218" s="171">
        <v>428.15</v>
      </c>
      <c r="T218" s="136">
        <v>233.76000000000002</v>
      </c>
      <c r="U218" s="136">
        <v>337.51</v>
      </c>
      <c r="V218" s="136">
        <v>359.19</v>
      </c>
      <c r="W218" s="145">
        <v>478.1</v>
      </c>
      <c r="X218" s="145">
        <v>623.29999999999995</v>
      </c>
      <c r="Y218" s="175">
        <v>656.62</v>
      </c>
      <c r="Z218" s="145">
        <v>132.19</v>
      </c>
      <c r="AA218" s="136"/>
      <c r="AB218" s="145">
        <v>104.81</v>
      </c>
      <c r="AC218" s="145"/>
      <c r="AD218" s="145"/>
      <c r="AE218" s="145"/>
      <c r="AF218" s="145"/>
      <c r="AG218" s="145">
        <v>94.509999999999991</v>
      </c>
      <c r="AH218" s="136"/>
      <c r="AI218" s="136"/>
      <c r="AJ218" s="136">
        <v>113.17</v>
      </c>
      <c r="AK218" s="136"/>
      <c r="AL218" s="138"/>
    </row>
    <row r="219" spans="1:38" x14ac:dyDescent="0.35">
      <c r="A219" s="130">
        <v>38869</v>
      </c>
      <c r="B219" s="135">
        <v>460.15999999999997</v>
      </c>
      <c r="C219" s="178"/>
      <c r="D219" s="135">
        <v>211.87</v>
      </c>
      <c r="E219" s="132">
        <v>220.26</v>
      </c>
      <c r="F219" s="132">
        <v>271.63</v>
      </c>
      <c r="G219" s="126">
        <v>158.96</v>
      </c>
      <c r="H219" s="127">
        <v>158.06</v>
      </c>
      <c r="I219" s="132">
        <v>202.26000000000002</v>
      </c>
      <c r="J219" s="127">
        <v>223.41</v>
      </c>
      <c r="K219" s="127">
        <v>239.05</v>
      </c>
      <c r="L219" s="132">
        <v>212.15</v>
      </c>
      <c r="M219" s="127">
        <v>110.63000000000001</v>
      </c>
      <c r="N219" s="143">
        <v>135.6</v>
      </c>
      <c r="O219" s="126">
        <v>129.57</v>
      </c>
      <c r="P219" s="170">
        <v>152.6</v>
      </c>
      <c r="Q219" s="128">
        <v>139.82</v>
      </c>
      <c r="R219" s="170">
        <v>179.3</v>
      </c>
      <c r="S219" s="171">
        <v>428.71999999999997</v>
      </c>
      <c r="T219" s="136">
        <v>234.58</v>
      </c>
      <c r="U219" s="136">
        <v>337.71</v>
      </c>
      <c r="V219" s="136">
        <v>359.25</v>
      </c>
      <c r="W219" s="145">
        <v>478.1</v>
      </c>
      <c r="X219" s="145">
        <v>623.29999999999995</v>
      </c>
      <c r="Y219" s="175">
        <v>656.62</v>
      </c>
      <c r="Z219" s="136"/>
      <c r="AA219" s="136"/>
      <c r="AB219" s="136"/>
      <c r="AC219" s="136"/>
      <c r="AD219" s="136"/>
      <c r="AE219" s="136"/>
      <c r="AF219" s="136"/>
      <c r="AG219" s="145">
        <v>94.41</v>
      </c>
      <c r="AH219" s="136"/>
      <c r="AI219" s="136"/>
      <c r="AJ219" s="136">
        <v>112.93</v>
      </c>
      <c r="AK219" s="136"/>
      <c r="AL219" s="138"/>
    </row>
    <row r="220" spans="1:38" x14ac:dyDescent="0.35">
      <c r="A220" s="130">
        <v>38899</v>
      </c>
      <c r="B220" s="135">
        <v>460.15</v>
      </c>
      <c r="C220" s="178"/>
      <c r="D220" s="135">
        <v>211.93</v>
      </c>
      <c r="E220" s="132">
        <v>220.09</v>
      </c>
      <c r="F220" s="132">
        <v>271.19</v>
      </c>
      <c r="G220" s="126">
        <v>159.47000000000003</v>
      </c>
      <c r="H220" s="127">
        <v>157.30000000000001</v>
      </c>
      <c r="I220" s="132">
        <v>200.5</v>
      </c>
      <c r="J220" s="127">
        <v>223.22</v>
      </c>
      <c r="K220" s="127">
        <v>237.97</v>
      </c>
      <c r="L220" s="132">
        <v>211.96</v>
      </c>
      <c r="M220" s="127">
        <v>110.48000000000002</v>
      </c>
      <c r="N220" s="143">
        <v>135.6</v>
      </c>
      <c r="O220" s="126">
        <v>129.41000000000003</v>
      </c>
      <c r="P220" s="170">
        <v>152.6</v>
      </c>
      <c r="Q220" s="128">
        <v>139.43</v>
      </c>
      <c r="R220" s="170">
        <v>179.3</v>
      </c>
      <c r="S220" s="171">
        <v>427.53</v>
      </c>
      <c r="T220" s="136">
        <v>234.95000000000002</v>
      </c>
      <c r="U220" s="136">
        <v>337.4</v>
      </c>
      <c r="V220" s="136">
        <v>359.25</v>
      </c>
      <c r="W220" s="145">
        <v>478.1</v>
      </c>
      <c r="X220" s="145">
        <v>623.29999999999995</v>
      </c>
      <c r="Y220" s="175">
        <v>656.62</v>
      </c>
      <c r="Z220" s="136"/>
      <c r="AA220" s="136"/>
      <c r="AB220" s="136"/>
      <c r="AC220" s="136"/>
      <c r="AD220" s="136"/>
      <c r="AE220" s="136"/>
      <c r="AF220" s="136"/>
      <c r="AG220" s="145">
        <v>94.4</v>
      </c>
      <c r="AH220" s="136"/>
      <c r="AI220" s="136"/>
      <c r="AJ220" s="136">
        <v>112.69</v>
      </c>
      <c r="AK220" s="136"/>
      <c r="AL220" s="138"/>
    </row>
    <row r="221" spans="1:38" x14ac:dyDescent="0.35">
      <c r="A221" s="130">
        <v>38930</v>
      </c>
      <c r="B221" s="135">
        <v>460.1</v>
      </c>
      <c r="C221" s="178"/>
      <c r="D221" s="135">
        <v>211.84</v>
      </c>
      <c r="E221" s="132">
        <v>220.04</v>
      </c>
      <c r="F221" s="132">
        <v>270.84000000000003</v>
      </c>
      <c r="G221" s="126">
        <v>158.07000000000002</v>
      </c>
      <c r="H221" s="127">
        <v>157.52000000000001</v>
      </c>
      <c r="I221" s="132">
        <v>200.5</v>
      </c>
      <c r="J221" s="127">
        <v>223.06</v>
      </c>
      <c r="K221" s="127">
        <v>236.84</v>
      </c>
      <c r="L221" s="132">
        <v>211.78</v>
      </c>
      <c r="M221" s="127">
        <v>110.34</v>
      </c>
      <c r="N221" s="135">
        <v>137.95000000000002</v>
      </c>
      <c r="O221" s="126">
        <v>129.06</v>
      </c>
      <c r="P221" s="170">
        <v>152.6</v>
      </c>
      <c r="Q221" s="128">
        <v>138.94</v>
      </c>
      <c r="R221" s="170">
        <v>179.3</v>
      </c>
      <c r="S221" s="171">
        <v>426.75</v>
      </c>
      <c r="T221" s="136">
        <v>235.05</v>
      </c>
      <c r="U221" s="136">
        <v>337.79999999999995</v>
      </c>
      <c r="V221" s="136">
        <v>359.24</v>
      </c>
      <c r="W221" s="145">
        <v>478.1</v>
      </c>
      <c r="X221" s="145">
        <v>623.29999999999995</v>
      </c>
      <c r="Y221" s="175">
        <v>656.62</v>
      </c>
      <c r="Z221" s="136"/>
      <c r="AA221" s="136"/>
      <c r="AB221" s="136"/>
      <c r="AC221" s="136"/>
      <c r="AD221" s="136"/>
      <c r="AE221" s="136"/>
      <c r="AF221" s="136"/>
      <c r="AG221" s="145">
        <v>94.28</v>
      </c>
      <c r="AH221" s="136"/>
      <c r="AI221" s="136"/>
      <c r="AJ221" s="136">
        <v>112.21000000000001</v>
      </c>
      <c r="AK221" s="136"/>
      <c r="AL221" s="138"/>
    </row>
    <row r="222" spans="1:38" x14ac:dyDescent="0.35">
      <c r="A222" s="130">
        <v>38961</v>
      </c>
      <c r="B222" s="135">
        <v>460.06</v>
      </c>
      <c r="C222" s="178"/>
      <c r="D222" s="135">
        <v>211.73999999999998</v>
      </c>
      <c r="E222" s="132">
        <v>219.95</v>
      </c>
      <c r="F222" s="132">
        <v>270.56</v>
      </c>
      <c r="G222" s="126">
        <v>156.98000000000002</v>
      </c>
      <c r="H222" s="127">
        <v>156.89000000000001</v>
      </c>
      <c r="I222" s="132">
        <v>200.5</v>
      </c>
      <c r="J222" s="127">
        <v>222.98000000000002</v>
      </c>
      <c r="K222" s="127">
        <v>236.44</v>
      </c>
      <c r="L222" s="132">
        <v>211.69</v>
      </c>
      <c r="M222" s="127">
        <v>110.35000000000001</v>
      </c>
      <c r="N222" s="143">
        <v>135.6</v>
      </c>
      <c r="O222" s="126">
        <v>128.86000000000001</v>
      </c>
      <c r="P222" s="170">
        <v>152.6</v>
      </c>
      <c r="Q222" s="128">
        <v>138.60999999999999</v>
      </c>
      <c r="R222" s="170">
        <v>179.3</v>
      </c>
      <c r="S222" s="171">
        <v>426.28</v>
      </c>
      <c r="T222" s="136">
        <v>235.07000000000002</v>
      </c>
      <c r="U222" s="136">
        <v>337.84999999999997</v>
      </c>
      <c r="V222" s="136">
        <v>359.27000000000004</v>
      </c>
      <c r="W222" s="145">
        <v>478.1</v>
      </c>
      <c r="X222" s="145">
        <v>623.29999999999995</v>
      </c>
      <c r="Y222" s="175">
        <v>656.62</v>
      </c>
      <c r="Z222" s="136"/>
      <c r="AA222" s="136"/>
      <c r="AB222" s="136"/>
      <c r="AC222" s="136"/>
      <c r="AD222" s="136"/>
      <c r="AE222" s="136"/>
      <c r="AF222" s="136"/>
      <c r="AG222" s="145">
        <v>94.31</v>
      </c>
      <c r="AH222" s="136"/>
      <c r="AI222" s="136"/>
      <c r="AJ222" s="136">
        <v>112.05</v>
      </c>
      <c r="AK222" s="136"/>
      <c r="AL222" s="138"/>
    </row>
    <row r="223" spans="1:38" x14ac:dyDescent="0.35">
      <c r="A223" s="130">
        <v>38991</v>
      </c>
      <c r="B223" s="135">
        <v>460.03</v>
      </c>
      <c r="C223" s="178"/>
      <c r="D223" s="135">
        <v>211.79</v>
      </c>
      <c r="E223" s="132">
        <v>219.85</v>
      </c>
      <c r="F223" s="132">
        <v>270.37</v>
      </c>
      <c r="G223" s="126">
        <v>156.26000000000002</v>
      </c>
      <c r="H223" s="127">
        <v>156.42000000000002</v>
      </c>
      <c r="I223" s="132">
        <v>200.5</v>
      </c>
      <c r="J223" s="127">
        <v>222.88</v>
      </c>
      <c r="K223" s="127">
        <v>236.3</v>
      </c>
      <c r="L223" s="132">
        <v>211.54000000000002</v>
      </c>
      <c r="M223" s="127">
        <v>110.25000000000001</v>
      </c>
      <c r="N223" s="143">
        <v>135.6</v>
      </c>
      <c r="O223" s="126">
        <v>128.46</v>
      </c>
      <c r="P223" s="170">
        <v>152.6</v>
      </c>
      <c r="Q223" s="128">
        <v>137.98999999999998</v>
      </c>
      <c r="R223" s="170">
        <v>179.3</v>
      </c>
      <c r="S223" s="171">
        <v>425.92999999999995</v>
      </c>
      <c r="T223" s="136">
        <v>235.12</v>
      </c>
      <c r="U223" s="136">
        <v>337.90999999999997</v>
      </c>
      <c r="V223" s="136">
        <v>359.43</v>
      </c>
      <c r="W223" s="145">
        <v>478.1</v>
      </c>
      <c r="X223" s="145">
        <v>623.29999999999995</v>
      </c>
      <c r="Y223" s="175">
        <v>656.62</v>
      </c>
      <c r="Z223" s="136"/>
      <c r="AA223" s="136"/>
      <c r="AB223" s="136"/>
      <c r="AC223" s="136"/>
      <c r="AD223" s="136"/>
      <c r="AE223" s="136"/>
      <c r="AF223" s="136"/>
      <c r="AG223" s="145">
        <v>94.28</v>
      </c>
      <c r="AH223" s="136"/>
      <c r="AI223" s="136"/>
      <c r="AJ223" s="136">
        <v>111.68</v>
      </c>
      <c r="AK223" s="136"/>
      <c r="AL223" s="138"/>
    </row>
    <row r="224" spans="1:38" x14ac:dyDescent="0.35">
      <c r="A224" s="130">
        <v>39022</v>
      </c>
      <c r="B224" s="135">
        <v>459.98</v>
      </c>
      <c r="C224" s="178"/>
      <c r="D224" s="135">
        <v>211.35</v>
      </c>
      <c r="E224" s="132">
        <v>219.41</v>
      </c>
      <c r="F224" s="132">
        <v>269.86</v>
      </c>
      <c r="G224" s="126">
        <v>155.72000000000003</v>
      </c>
      <c r="H224" s="127">
        <v>156.08000000000001</v>
      </c>
      <c r="I224" s="132">
        <v>200.5</v>
      </c>
      <c r="J224" s="127">
        <v>222.76000000000002</v>
      </c>
      <c r="K224" s="127">
        <v>234.37</v>
      </c>
      <c r="L224" s="132">
        <v>211.42000000000002</v>
      </c>
      <c r="M224" s="127">
        <v>110.32000000000002</v>
      </c>
      <c r="N224" s="143">
        <v>135.6</v>
      </c>
      <c r="O224" s="126">
        <v>128</v>
      </c>
      <c r="P224" s="170">
        <v>152.6</v>
      </c>
      <c r="Q224" s="128">
        <v>137.26</v>
      </c>
      <c r="R224" s="170">
        <v>179.3</v>
      </c>
      <c r="S224" s="171">
        <v>425.7</v>
      </c>
      <c r="T224" s="136">
        <v>234.31</v>
      </c>
      <c r="U224" s="136">
        <v>337.76</v>
      </c>
      <c r="V224" s="136">
        <v>359.34000000000003</v>
      </c>
      <c r="W224" s="145">
        <v>478.1</v>
      </c>
      <c r="X224" s="145">
        <v>623.29999999999995</v>
      </c>
      <c r="Y224" s="175">
        <v>656.62</v>
      </c>
      <c r="Z224" s="136"/>
      <c r="AA224" s="136"/>
      <c r="AB224" s="136"/>
      <c r="AC224" s="136"/>
      <c r="AD224" s="136"/>
      <c r="AE224" s="136"/>
      <c r="AF224" s="136"/>
      <c r="AG224" s="145">
        <v>94.22</v>
      </c>
      <c r="AH224" s="136"/>
      <c r="AI224" s="136"/>
      <c r="AJ224" s="136">
        <v>111.22999999999999</v>
      </c>
      <c r="AK224" s="136"/>
      <c r="AL224" s="138"/>
    </row>
    <row r="225" spans="1:38" x14ac:dyDescent="0.35">
      <c r="A225" s="130">
        <v>39052</v>
      </c>
      <c r="B225" s="135">
        <v>459.9</v>
      </c>
      <c r="C225" s="178"/>
      <c r="D225" s="135">
        <v>211.2</v>
      </c>
      <c r="E225" s="132">
        <v>219.25</v>
      </c>
      <c r="F225" s="132">
        <v>269.86</v>
      </c>
      <c r="G225" s="126">
        <v>155.73000000000002</v>
      </c>
      <c r="H225" s="127">
        <v>156.20000000000002</v>
      </c>
      <c r="I225" s="132">
        <v>200.5</v>
      </c>
      <c r="J225" s="127">
        <v>222.75</v>
      </c>
      <c r="K225" s="127">
        <v>234.47</v>
      </c>
      <c r="L225" s="132">
        <v>211.36</v>
      </c>
      <c r="M225" s="127">
        <v>110.24000000000001</v>
      </c>
      <c r="N225" s="143">
        <v>135.6</v>
      </c>
      <c r="O225" s="126">
        <v>127.68</v>
      </c>
      <c r="P225" s="170">
        <v>152.6</v>
      </c>
      <c r="Q225" s="128">
        <v>136.79999999999998</v>
      </c>
      <c r="R225" s="170">
        <v>179.3</v>
      </c>
      <c r="S225" s="171">
        <v>426.07</v>
      </c>
      <c r="T225" s="136">
        <v>233.71</v>
      </c>
      <c r="U225" s="136">
        <v>337.54999999999995</v>
      </c>
      <c r="V225" s="136">
        <v>359.16</v>
      </c>
      <c r="W225" s="145">
        <v>478.1</v>
      </c>
      <c r="X225" s="145">
        <v>623.29999999999995</v>
      </c>
      <c r="Y225" s="175">
        <v>656.62</v>
      </c>
      <c r="Z225" s="137"/>
      <c r="AA225" s="137"/>
      <c r="AB225" s="137"/>
      <c r="AC225" s="137"/>
      <c r="AD225" s="137"/>
      <c r="AE225" s="137"/>
      <c r="AF225" s="137"/>
      <c r="AG225" s="145">
        <v>94.22999999999999</v>
      </c>
      <c r="AH225" s="136"/>
      <c r="AI225" s="136"/>
      <c r="AJ225" s="136">
        <v>110.97999999999999</v>
      </c>
      <c r="AK225" s="136"/>
      <c r="AL225" s="138"/>
    </row>
    <row r="226" spans="1:38" x14ac:dyDescent="0.35">
      <c r="A226" s="130">
        <v>39083</v>
      </c>
      <c r="B226" s="135">
        <v>459.85</v>
      </c>
      <c r="C226" s="178"/>
      <c r="D226" s="135">
        <v>211.03</v>
      </c>
      <c r="E226" s="132">
        <v>219.01999999999998</v>
      </c>
      <c r="F226" s="132">
        <v>269.62</v>
      </c>
      <c r="G226" s="126">
        <v>155.62</v>
      </c>
      <c r="H226" s="127">
        <v>156.32</v>
      </c>
      <c r="I226" s="132">
        <v>200.5</v>
      </c>
      <c r="J226" s="127">
        <v>222.64000000000001</v>
      </c>
      <c r="K226" s="127">
        <v>234.04</v>
      </c>
      <c r="L226" s="132">
        <v>211.27</v>
      </c>
      <c r="M226" s="127">
        <v>110.22000000000001</v>
      </c>
      <c r="N226" s="143">
        <v>135.6</v>
      </c>
      <c r="O226" s="126">
        <v>127.14000000000001</v>
      </c>
      <c r="P226" s="170">
        <v>152.6</v>
      </c>
      <c r="Q226" s="128">
        <v>135.91999999999999</v>
      </c>
      <c r="R226" s="170">
        <v>179.3</v>
      </c>
      <c r="S226" s="171">
        <v>425.86</v>
      </c>
      <c r="T226" s="136">
        <v>233.21</v>
      </c>
      <c r="U226" s="136">
        <v>337.46999999999997</v>
      </c>
      <c r="V226" s="136">
        <v>359.19</v>
      </c>
      <c r="W226" s="145">
        <v>478.1</v>
      </c>
      <c r="X226" s="145">
        <v>623.29999999999995</v>
      </c>
      <c r="Y226" s="175">
        <v>656.62</v>
      </c>
      <c r="Z226" s="137"/>
      <c r="AA226" s="137"/>
      <c r="AB226" s="137"/>
      <c r="AC226" s="137"/>
      <c r="AD226" s="137"/>
      <c r="AE226" s="137"/>
      <c r="AF226" s="137"/>
      <c r="AG226" s="145">
        <v>94.19</v>
      </c>
      <c r="AH226" s="136"/>
      <c r="AI226" s="136"/>
      <c r="AJ226" s="136">
        <v>110.52000000000001</v>
      </c>
      <c r="AK226" s="136"/>
      <c r="AL226" s="138"/>
    </row>
    <row r="227" spans="1:38" x14ac:dyDescent="0.35">
      <c r="A227" s="130">
        <v>39114</v>
      </c>
      <c r="B227" s="135">
        <v>459.88</v>
      </c>
      <c r="C227" s="178"/>
      <c r="D227" s="135">
        <v>211.29</v>
      </c>
      <c r="E227" s="132">
        <v>219.29</v>
      </c>
      <c r="F227" s="132">
        <v>270.38</v>
      </c>
      <c r="G227" s="126">
        <v>158.5</v>
      </c>
      <c r="H227" s="127">
        <v>157.14000000000001</v>
      </c>
      <c r="I227" s="132">
        <v>212.8</v>
      </c>
      <c r="J227" s="127">
        <v>222.48000000000002</v>
      </c>
      <c r="K227" s="127">
        <v>235.77</v>
      </c>
      <c r="L227" s="132">
        <v>211.28</v>
      </c>
      <c r="M227" s="127">
        <v>110.23000000000002</v>
      </c>
      <c r="N227" s="143">
        <v>135.6</v>
      </c>
      <c r="O227" s="126">
        <v>126.79</v>
      </c>
      <c r="P227" s="170">
        <v>152.6</v>
      </c>
      <c r="Q227" s="128">
        <v>135.29</v>
      </c>
      <c r="R227" s="170">
        <v>179.3</v>
      </c>
      <c r="S227" s="171">
        <v>428.72999999999996</v>
      </c>
      <c r="T227" s="136">
        <v>232.97000000000003</v>
      </c>
      <c r="U227" s="136">
        <v>337.41999999999996</v>
      </c>
      <c r="V227" s="136">
        <v>359.21000000000004</v>
      </c>
      <c r="W227" s="145">
        <v>478.1</v>
      </c>
      <c r="X227" s="145">
        <v>623.29999999999995</v>
      </c>
      <c r="Y227" s="175">
        <v>656.62</v>
      </c>
      <c r="Z227" s="137"/>
      <c r="AA227" s="137"/>
      <c r="AB227" s="137"/>
      <c r="AC227" s="137"/>
      <c r="AD227" s="137"/>
      <c r="AE227" s="137"/>
      <c r="AF227" s="137"/>
      <c r="AG227" s="145">
        <v>94.27000000000001</v>
      </c>
      <c r="AH227" s="136"/>
      <c r="AI227" s="136"/>
      <c r="AJ227" s="136">
        <v>110.21000000000001</v>
      </c>
      <c r="AK227" s="136"/>
      <c r="AL227" s="138"/>
    </row>
    <row r="228" spans="1:38" x14ac:dyDescent="0.35">
      <c r="A228" s="130">
        <v>39142</v>
      </c>
      <c r="B228" s="135">
        <v>459.85</v>
      </c>
      <c r="C228" s="178"/>
      <c r="D228" s="135">
        <v>211.23</v>
      </c>
      <c r="E228" s="132">
        <v>219.31</v>
      </c>
      <c r="F228" s="132">
        <v>270.14</v>
      </c>
      <c r="G228" s="126">
        <v>157.66000000000003</v>
      </c>
      <c r="H228" s="127">
        <v>157.11000000000001</v>
      </c>
      <c r="I228" s="132">
        <v>210.51000000000002</v>
      </c>
      <c r="J228" s="127">
        <v>222.08</v>
      </c>
      <c r="K228" s="127">
        <v>236.37</v>
      </c>
      <c r="L228" s="132">
        <v>211.32</v>
      </c>
      <c r="M228" s="127">
        <v>110.08000000000001</v>
      </c>
      <c r="N228" s="143">
        <v>135.6</v>
      </c>
      <c r="O228" s="126">
        <v>126.54</v>
      </c>
      <c r="P228" s="170">
        <v>152.6</v>
      </c>
      <c r="Q228" s="128">
        <v>134.93</v>
      </c>
      <c r="R228" s="170">
        <v>179.3</v>
      </c>
      <c r="S228" s="171">
        <v>427.97999999999996</v>
      </c>
      <c r="T228" s="136">
        <v>232.77</v>
      </c>
      <c r="U228" s="136">
        <v>337.34999999999997</v>
      </c>
      <c r="V228" s="136">
        <v>359.16</v>
      </c>
      <c r="W228" s="145">
        <v>478.1</v>
      </c>
      <c r="X228" s="145">
        <v>623.29999999999995</v>
      </c>
      <c r="Y228" s="175">
        <v>656.62</v>
      </c>
      <c r="Z228" s="137"/>
      <c r="AA228" s="137"/>
      <c r="AB228" s="137"/>
      <c r="AC228" s="137"/>
      <c r="AD228" s="137"/>
      <c r="AE228" s="137"/>
      <c r="AF228" s="137"/>
      <c r="AG228" s="145">
        <v>94.27000000000001</v>
      </c>
      <c r="AH228" s="137"/>
      <c r="AI228" s="137"/>
      <c r="AJ228" s="137">
        <v>109.99000000000001</v>
      </c>
      <c r="AK228" s="137"/>
      <c r="AL228" s="138"/>
    </row>
    <row r="229" spans="1:38" x14ac:dyDescent="0.35">
      <c r="A229" s="130">
        <v>39173</v>
      </c>
      <c r="B229" s="135">
        <v>459.8</v>
      </c>
      <c r="C229" s="178"/>
      <c r="D229" s="135">
        <v>211.10999999999999</v>
      </c>
      <c r="E229" s="132">
        <v>219.2</v>
      </c>
      <c r="F229" s="132">
        <v>269.76</v>
      </c>
      <c r="G229" s="126">
        <v>156.18</v>
      </c>
      <c r="H229" s="127">
        <v>156.28</v>
      </c>
      <c r="I229" s="132">
        <v>200.5</v>
      </c>
      <c r="J229" s="127">
        <v>222.63</v>
      </c>
      <c r="K229" s="127">
        <v>235.83</v>
      </c>
      <c r="L229" s="132">
        <v>211.3</v>
      </c>
      <c r="M229" s="127">
        <v>110.09</v>
      </c>
      <c r="N229" s="143">
        <v>135.6</v>
      </c>
      <c r="O229" s="126">
        <v>126.18</v>
      </c>
      <c r="P229" s="170">
        <v>152.6</v>
      </c>
      <c r="Q229" s="128">
        <v>134.19</v>
      </c>
      <c r="R229" s="170">
        <v>179.3</v>
      </c>
      <c r="S229" s="171">
        <v>426.78999999999996</v>
      </c>
      <c r="T229" s="136">
        <v>232.32000000000002</v>
      </c>
      <c r="U229" s="136">
        <v>337.26</v>
      </c>
      <c r="V229" s="136">
        <v>359.05</v>
      </c>
      <c r="W229" s="145">
        <v>478.1</v>
      </c>
      <c r="X229" s="145">
        <v>623.29999999999995</v>
      </c>
      <c r="Y229" s="175">
        <v>656.62</v>
      </c>
      <c r="Z229" s="137"/>
      <c r="AA229" s="137"/>
      <c r="AB229" s="137"/>
      <c r="AC229" s="137"/>
      <c r="AD229" s="137"/>
      <c r="AE229" s="137"/>
      <c r="AF229" s="137"/>
      <c r="AG229" s="145">
        <v>94.28</v>
      </c>
      <c r="AH229" s="137"/>
      <c r="AI229" s="137"/>
      <c r="AJ229" s="137">
        <v>109.7</v>
      </c>
      <c r="AK229" s="137"/>
      <c r="AL229" s="138"/>
    </row>
    <row r="230" spans="1:38" x14ac:dyDescent="0.35">
      <c r="A230" s="130">
        <v>39203</v>
      </c>
      <c r="B230" s="135">
        <v>459.8</v>
      </c>
      <c r="C230" s="178"/>
      <c r="D230" s="135">
        <v>211.19</v>
      </c>
      <c r="E230" s="132">
        <v>219.14</v>
      </c>
      <c r="F230" s="132">
        <v>269.90000000000003</v>
      </c>
      <c r="G230" s="126">
        <v>155.66000000000003</v>
      </c>
      <c r="H230" s="127">
        <v>155.97000000000003</v>
      </c>
      <c r="I230" s="132">
        <v>200.5</v>
      </c>
      <c r="J230" s="127">
        <v>222.67000000000002</v>
      </c>
      <c r="K230" s="127">
        <v>235.22</v>
      </c>
      <c r="L230" s="132">
        <v>211.27</v>
      </c>
      <c r="M230" s="127">
        <v>110.05000000000001</v>
      </c>
      <c r="N230" s="143">
        <v>135.6</v>
      </c>
      <c r="O230" s="126">
        <v>125.87</v>
      </c>
      <c r="P230" s="170">
        <v>152.6</v>
      </c>
      <c r="Q230" s="128">
        <v>133.5</v>
      </c>
      <c r="R230" s="170">
        <v>179.3</v>
      </c>
      <c r="S230" s="171">
        <v>426.34999999999997</v>
      </c>
      <c r="T230" s="136">
        <v>232.33</v>
      </c>
      <c r="U230" s="136">
        <v>337.25</v>
      </c>
      <c r="V230" s="136">
        <v>359.05</v>
      </c>
      <c r="W230" s="145">
        <v>478.1</v>
      </c>
      <c r="X230" s="145">
        <v>623.29999999999995</v>
      </c>
      <c r="Y230" s="175">
        <v>656.62</v>
      </c>
      <c r="Z230" s="137"/>
      <c r="AA230" s="137"/>
      <c r="AB230" s="137"/>
      <c r="AC230" s="137"/>
      <c r="AD230" s="137"/>
      <c r="AE230" s="137"/>
      <c r="AF230" s="137"/>
      <c r="AG230" s="145">
        <v>94.25</v>
      </c>
      <c r="AH230" s="137"/>
      <c r="AI230" s="137"/>
      <c r="AJ230" s="137">
        <v>109.35</v>
      </c>
      <c r="AK230" s="137"/>
      <c r="AL230" s="138"/>
    </row>
    <row r="231" spans="1:38" x14ac:dyDescent="0.35">
      <c r="A231" s="130">
        <v>39234</v>
      </c>
      <c r="B231" s="135">
        <v>459.77</v>
      </c>
      <c r="C231" s="178"/>
      <c r="D231" s="135">
        <v>211.07</v>
      </c>
      <c r="E231" s="132">
        <v>219.16</v>
      </c>
      <c r="F231" s="132">
        <v>269.73</v>
      </c>
      <c r="G231" s="126">
        <v>155.5</v>
      </c>
      <c r="H231" s="127">
        <v>155.83000000000001</v>
      </c>
      <c r="I231" s="132">
        <v>212.64000000000001</v>
      </c>
      <c r="J231" s="127">
        <v>222.74</v>
      </c>
      <c r="K231" s="127">
        <v>234.74</v>
      </c>
      <c r="L231" s="132">
        <v>211.27</v>
      </c>
      <c r="M231" s="127">
        <v>110.17000000000002</v>
      </c>
      <c r="N231" s="143">
        <v>135.6</v>
      </c>
      <c r="O231" s="126">
        <v>125.54</v>
      </c>
      <c r="P231" s="170">
        <v>152.6</v>
      </c>
      <c r="Q231" s="128">
        <v>132.95999999999998</v>
      </c>
      <c r="R231" s="170">
        <v>179.3</v>
      </c>
      <c r="S231" s="171">
        <v>425.99</v>
      </c>
      <c r="T231" s="136">
        <v>232.11</v>
      </c>
      <c r="U231" s="136">
        <v>337.23999999999995</v>
      </c>
      <c r="V231" s="136">
        <v>358.98</v>
      </c>
      <c r="W231" s="145">
        <v>478.1</v>
      </c>
      <c r="X231" s="145">
        <v>623.29999999999995</v>
      </c>
      <c r="Y231" s="175">
        <v>656.62</v>
      </c>
      <c r="Z231" s="137"/>
      <c r="AA231" s="137"/>
      <c r="AB231" s="137"/>
      <c r="AC231" s="137"/>
      <c r="AD231" s="137"/>
      <c r="AE231" s="137"/>
      <c r="AF231" s="137"/>
      <c r="AG231" s="145">
        <v>94.17</v>
      </c>
      <c r="AH231" s="137"/>
      <c r="AI231" s="137"/>
      <c r="AJ231" s="137">
        <v>109.2</v>
      </c>
      <c r="AK231" s="137"/>
      <c r="AL231" s="138"/>
    </row>
    <row r="232" spans="1:38" x14ac:dyDescent="0.35">
      <c r="A232" s="130">
        <v>39264</v>
      </c>
      <c r="B232" s="135">
        <v>459.75</v>
      </c>
      <c r="C232" s="178"/>
      <c r="D232" s="135">
        <v>211</v>
      </c>
      <c r="E232" s="132">
        <v>219.06</v>
      </c>
      <c r="F232" s="132">
        <v>268.86</v>
      </c>
      <c r="G232" s="126">
        <v>155.30000000000001</v>
      </c>
      <c r="H232" s="127">
        <v>155.69</v>
      </c>
      <c r="I232" s="132">
        <v>201.9</v>
      </c>
      <c r="J232" s="127">
        <v>222.73000000000002</v>
      </c>
      <c r="K232" s="127">
        <v>234.31</v>
      </c>
      <c r="L232" s="132">
        <v>211.28</v>
      </c>
      <c r="M232" s="127">
        <v>110.16000000000001</v>
      </c>
      <c r="N232" s="143">
        <v>135.6</v>
      </c>
      <c r="O232" s="126">
        <v>125.16000000000001</v>
      </c>
      <c r="P232" s="170">
        <v>152.6</v>
      </c>
      <c r="Q232" s="128">
        <v>132.32</v>
      </c>
      <c r="R232" s="170">
        <v>179.3</v>
      </c>
      <c r="S232" s="171">
        <v>425.71999999999997</v>
      </c>
      <c r="T232" s="136">
        <v>231.94000000000003</v>
      </c>
      <c r="U232" s="136">
        <v>337.21</v>
      </c>
      <c r="V232" s="136">
        <v>358.91</v>
      </c>
      <c r="W232" s="145">
        <v>478.1</v>
      </c>
      <c r="X232" s="145">
        <v>623.29999999999995</v>
      </c>
      <c r="Y232" s="175">
        <v>656.62</v>
      </c>
      <c r="Z232" s="137"/>
      <c r="AA232" s="137"/>
      <c r="AB232" s="137"/>
      <c r="AC232" s="137"/>
      <c r="AD232" s="137"/>
      <c r="AE232" s="137"/>
      <c r="AF232" s="137"/>
      <c r="AG232" s="145">
        <v>94.09</v>
      </c>
      <c r="AH232" s="137"/>
      <c r="AI232" s="137"/>
      <c r="AJ232" s="137">
        <v>108.84</v>
      </c>
      <c r="AK232" s="137"/>
      <c r="AL232" s="138"/>
    </row>
    <row r="233" spans="1:38" x14ac:dyDescent="0.35">
      <c r="A233" s="130">
        <v>39295</v>
      </c>
      <c r="B233" s="135">
        <v>459.67</v>
      </c>
      <c r="C233" s="178"/>
      <c r="D233" s="135">
        <v>210.78</v>
      </c>
      <c r="E233" s="132">
        <v>218.85</v>
      </c>
      <c r="F233" s="132">
        <v>268.18</v>
      </c>
      <c r="G233" s="126">
        <v>155.15</v>
      </c>
      <c r="H233" s="127">
        <v>155.56</v>
      </c>
      <c r="I233" s="132">
        <v>200.5</v>
      </c>
      <c r="J233" s="127">
        <v>222.64000000000001</v>
      </c>
      <c r="K233" s="127">
        <v>234.07</v>
      </c>
      <c r="L233" s="132">
        <v>211.3</v>
      </c>
      <c r="M233" s="127">
        <v>110.28</v>
      </c>
      <c r="N233" s="143">
        <v>135.6</v>
      </c>
      <c r="O233" s="126">
        <v>124.76000000000002</v>
      </c>
      <c r="P233" s="170">
        <v>152.6</v>
      </c>
      <c r="Q233" s="128">
        <v>131.76</v>
      </c>
      <c r="R233" s="170">
        <v>179.3</v>
      </c>
      <c r="S233" s="174">
        <v>427</v>
      </c>
      <c r="T233" s="136">
        <v>231.53000000000003</v>
      </c>
      <c r="U233" s="136">
        <v>337.27</v>
      </c>
      <c r="V233" s="136">
        <v>358.97</v>
      </c>
      <c r="W233" s="145">
        <v>478.1</v>
      </c>
      <c r="X233" s="145">
        <v>623.29999999999995</v>
      </c>
      <c r="Y233" s="175">
        <v>656.62</v>
      </c>
      <c r="Z233" s="137"/>
      <c r="AA233" s="137"/>
      <c r="AB233" s="137"/>
      <c r="AC233" s="137"/>
      <c r="AD233" s="137"/>
      <c r="AE233" s="137"/>
      <c r="AF233" s="137"/>
      <c r="AG233" s="145">
        <v>93.93</v>
      </c>
      <c r="AH233" s="137"/>
      <c r="AI233" s="137"/>
      <c r="AJ233" s="137">
        <v>108.35</v>
      </c>
      <c r="AK233" s="137"/>
      <c r="AL233" s="138"/>
    </row>
    <row r="234" spans="1:38" x14ac:dyDescent="0.35">
      <c r="A234" s="130">
        <v>39326</v>
      </c>
      <c r="B234" s="135">
        <v>459.67</v>
      </c>
      <c r="C234" s="178"/>
      <c r="D234" s="135">
        <v>210.64999999999998</v>
      </c>
      <c r="E234" s="132">
        <v>218.72</v>
      </c>
      <c r="F234" s="132">
        <v>267.8</v>
      </c>
      <c r="G234" s="126">
        <v>155.13</v>
      </c>
      <c r="H234" s="127">
        <v>155.5</v>
      </c>
      <c r="I234" s="132">
        <v>200.5</v>
      </c>
      <c r="J234" s="127">
        <v>222.60000000000002</v>
      </c>
      <c r="K234" s="127">
        <v>233.74</v>
      </c>
      <c r="L234" s="132">
        <v>211.31</v>
      </c>
      <c r="M234" s="127">
        <v>110.30000000000001</v>
      </c>
      <c r="N234" s="143">
        <v>135.6</v>
      </c>
      <c r="O234" s="126">
        <v>124.46000000000001</v>
      </c>
      <c r="P234" s="170">
        <v>152.6</v>
      </c>
      <c r="Q234" s="128">
        <v>131.48999999999998</v>
      </c>
      <c r="R234" s="170">
        <v>179.3</v>
      </c>
      <c r="S234" s="174">
        <v>427</v>
      </c>
      <c r="T234" s="136">
        <v>231.15000000000003</v>
      </c>
      <c r="U234" s="136">
        <v>337.28999999999996</v>
      </c>
      <c r="V234" s="136">
        <v>358.92</v>
      </c>
      <c r="W234" s="145">
        <v>478.1</v>
      </c>
      <c r="X234" s="145">
        <v>623.29999999999995</v>
      </c>
      <c r="Y234" s="175">
        <v>656.62</v>
      </c>
      <c r="Z234" s="137"/>
      <c r="AA234" s="137"/>
      <c r="AB234" s="137"/>
      <c r="AC234" s="137"/>
      <c r="AD234" s="137"/>
      <c r="AE234" s="137"/>
      <c r="AF234" s="137"/>
      <c r="AG234" s="145">
        <v>93.8</v>
      </c>
      <c r="AH234" s="137"/>
      <c r="AI234" s="137"/>
      <c r="AJ234" s="137">
        <v>108.34</v>
      </c>
      <c r="AK234" s="137"/>
      <c r="AL234" s="138"/>
    </row>
    <row r="235" spans="1:38" x14ac:dyDescent="0.35">
      <c r="A235" s="130">
        <v>39356</v>
      </c>
      <c r="B235" s="135">
        <v>459.69</v>
      </c>
      <c r="C235" s="178"/>
      <c r="D235" s="135">
        <v>210.62</v>
      </c>
      <c r="E235" s="132">
        <v>218.72</v>
      </c>
      <c r="F235" s="132">
        <v>268.37</v>
      </c>
      <c r="G235" s="126">
        <v>155.62</v>
      </c>
      <c r="H235" s="127">
        <v>155.62</v>
      </c>
      <c r="I235" s="132">
        <v>212.12</v>
      </c>
      <c r="J235" s="127">
        <v>222.48000000000002</v>
      </c>
      <c r="K235" s="127">
        <v>234.36</v>
      </c>
      <c r="L235" s="132">
        <v>211.37</v>
      </c>
      <c r="M235" s="127">
        <v>110.18</v>
      </c>
      <c r="N235" s="143">
        <v>135.6</v>
      </c>
      <c r="O235" s="126">
        <v>124.09</v>
      </c>
      <c r="P235" s="170">
        <v>152.6</v>
      </c>
      <c r="Q235" s="128">
        <v>131.01999999999998</v>
      </c>
      <c r="R235" s="170">
        <v>179.3</v>
      </c>
      <c r="S235" s="171">
        <v>426.26</v>
      </c>
      <c r="T235" s="136">
        <v>230.87</v>
      </c>
      <c r="U235" s="136">
        <v>337.36999999999995</v>
      </c>
      <c r="V235" s="136">
        <v>358.91</v>
      </c>
      <c r="W235" s="145">
        <v>478.1</v>
      </c>
      <c r="X235" s="145">
        <v>623.29999999999995</v>
      </c>
      <c r="Y235" s="175">
        <v>656.62</v>
      </c>
      <c r="Z235" s="137"/>
      <c r="AA235" s="137"/>
      <c r="AB235" s="137"/>
      <c r="AC235" s="137"/>
      <c r="AD235" s="137"/>
      <c r="AE235" s="137"/>
      <c r="AF235" s="137"/>
      <c r="AG235" s="145">
        <v>93.67</v>
      </c>
      <c r="AH235" s="137"/>
      <c r="AI235" s="137"/>
      <c r="AJ235" s="137">
        <v>108.07</v>
      </c>
      <c r="AK235" s="137"/>
      <c r="AL235" s="138"/>
    </row>
    <row r="236" spans="1:38" x14ac:dyDescent="0.35">
      <c r="A236" s="130">
        <v>39387</v>
      </c>
      <c r="B236" s="135">
        <v>459.68</v>
      </c>
      <c r="C236" s="178"/>
      <c r="D236" s="135">
        <v>210.54</v>
      </c>
      <c r="E236" s="132">
        <v>218.62</v>
      </c>
      <c r="F236" s="132">
        <v>268.29000000000002</v>
      </c>
      <c r="G236" s="126">
        <v>155.35000000000002</v>
      </c>
      <c r="H236" s="127">
        <v>155.58000000000001</v>
      </c>
      <c r="I236" s="132">
        <v>201.38000000000002</v>
      </c>
      <c r="J236" s="127">
        <v>222.43</v>
      </c>
      <c r="K236" s="127">
        <v>234.58</v>
      </c>
      <c r="L236" s="132">
        <v>211.42000000000002</v>
      </c>
      <c r="M236" s="127">
        <v>110.15</v>
      </c>
      <c r="N236" s="143">
        <v>135.6</v>
      </c>
      <c r="O236" s="126">
        <v>123.79</v>
      </c>
      <c r="P236" s="170">
        <v>152.6</v>
      </c>
      <c r="Q236" s="128">
        <v>130.69999999999999</v>
      </c>
      <c r="R236" s="170">
        <v>179.3</v>
      </c>
      <c r="S236" s="171">
        <v>425.89</v>
      </c>
      <c r="T236" s="136">
        <v>230.50000000000003</v>
      </c>
      <c r="U236" s="136">
        <v>337.34999999999997</v>
      </c>
      <c r="V236" s="136">
        <v>358.79</v>
      </c>
      <c r="W236" s="145">
        <v>478.1</v>
      </c>
      <c r="X236" s="145">
        <v>623.29999999999995</v>
      </c>
      <c r="Y236" s="175">
        <v>656.62</v>
      </c>
      <c r="Z236" s="137"/>
      <c r="AA236" s="137"/>
      <c r="AB236" s="137"/>
      <c r="AC236" s="137"/>
      <c r="AD236" s="137"/>
      <c r="AE236" s="137"/>
      <c r="AF236" s="137"/>
      <c r="AG236" s="145">
        <v>93.65</v>
      </c>
      <c r="AH236" s="137"/>
      <c r="AI236" s="137"/>
      <c r="AJ236" s="137">
        <v>107.85</v>
      </c>
      <c r="AK236" s="137"/>
      <c r="AL236" s="138"/>
    </row>
    <row r="237" spans="1:38" x14ac:dyDescent="0.35">
      <c r="A237" s="130">
        <v>39417</v>
      </c>
      <c r="B237" s="135">
        <v>459.58</v>
      </c>
      <c r="C237" s="178"/>
      <c r="D237" s="135">
        <v>210.14</v>
      </c>
      <c r="E237" s="132">
        <v>219.25</v>
      </c>
      <c r="F237" s="132">
        <v>268.44</v>
      </c>
      <c r="G237" s="126">
        <v>155.25</v>
      </c>
      <c r="H237" s="127">
        <v>155.42000000000002</v>
      </c>
      <c r="I237" s="132">
        <v>211.93</v>
      </c>
      <c r="J237" s="127">
        <v>222.39000000000001</v>
      </c>
      <c r="K237" s="127">
        <v>234.06</v>
      </c>
      <c r="L237" s="132">
        <v>211.41</v>
      </c>
      <c r="M237" s="127">
        <v>110.21000000000001</v>
      </c>
      <c r="N237" s="143">
        <v>135.6</v>
      </c>
      <c r="O237" s="126">
        <v>123.49000000000001</v>
      </c>
      <c r="P237" s="170">
        <v>152.6</v>
      </c>
      <c r="Q237" s="128">
        <v>130.27999999999997</v>
      </c>
      <c r="R237" s="170">
        <v>179.3</v>
      </c>
      <c r="S237" s="171">
        <v>426.04999999999995</v>
      </c>
      <c r="T237" s="136">
        <v>230.13000000000002</v>
      </c>
      <c r="U237" s="136">
        <v>337.22999999999996</v>
      </c>
      <c r="V237" s="136">
        <v>358.5</v>
      </c>
      <c r="W237" s="145">
        <v>478.1</v>
      </c>
      <c r="X237" s="145">
        <v>623.29999999999995</v>
      </c>
      <c r="Y237" s="175">
        <v>656.62</v>
      </c>
      <c r="Z237" s="137"/>
      <c r="AA237" s="137"/>
      <c r="AB237" s="137"/>
      <c r="AC237" s="137"/>
      <c r="AD237" s="137"/>
      <c r="AE237" s="137"/>
      <c r="AF237" s="137"/>
      <c r="AG237" s="145">
        <v>93.5</v>
      </c>
      <c r="AH237" s="137"/>
      <c r="AI237" s="137"/>
      <c r="AJ237" s="137">
        <v>107.63</v>
      </c>
      <c r="AK237" s="137"/>
      <c r="AL237" s="138"/>
    </row>
    <row r="238" spans="1:38" x14ac:dyDescent="0.35">
      <c r="A238" s="130">
        <v>39448</v>
      </c>
      <c r="B238" s="135">
        <v>459.58</v>
      </c>
      <c r="C238" s="178"/>
      <c r="D238" s="135">
        <v>210.34</v>
      </c>
      <c r="E238" s="132">
        <v>218.57</v>
      </c>
      <c r="F238" s="132">
        <v>270.10000000000002</v>
      </c>
      <c r="G238" s="126">
        <v>159.5</v>
      </c>
      <c r="H238" s="127">
        <v>157.10000000000002</v>
      </c>
      <c r="I238" s="132">
        <v>212.25</v>
      </c>
      <c r="J238" s="127">
        <v>222.52</v>
      </c>
      <c r="K238" s="127">
        <v>235.41</v>
      </c>
      <c r="L238" s="132">
        <v>211.53</v>
      </c>
      <c r="M238" s="127">
        <v>110.16000000000001</v>
      </c>
      <c r="N238" s="143">
        <v>135.6</v>
      </c>
      <c r="O238" s="126">
        <v>123.25</v>
      </c>
      <c r="P238" s="170">
        <v>152.6</v>
      </c>
      <c r="Q238" s="128">
        <v>129.91999999999999</v>
      </c>
      <c r="R238" s="170">
        <v>179.3</v>
      </c>
      <c r="S238" s="171">
        <v>454.93</v>
      </c>
      <c r="T238" s="136">
        <v>230.10000000000002</v>
      </c>
      <c r="U238" s="136">
        <v>337.15999999999997</v>
      </c>
      <c r="V238" s="136">
        <v>358.44</v>
      </c>
      <c r="W238" s="145">
        <v>478.1</v>
      </c>
      <c r="X238" s="145">
        <v>623.29999999999995</v>
      </c>
      <c r="Y238" s="175">
        <v>656.62</v>
      </c>
      <c r="Z238" s="137"/>
      <c r="AA238" s="137"/>
      <c r="AB238" s="137"/>
      <c r="AC238" s="137"/>
      <c r="AD238" s="137"/>
      <c r="AE238" s="137"/>
      <c r="AF238" s="137"/>
      <c r="AG238" s="145">
        <v>93.32</v>
      </c>
      <c r="AH238" s="137"/>
      <c r="AI238" s="137"/>
      <c r="AJ238" s="137">
        <v>107.53</v>
      </c>
      <c r="AK238" s="137"/>
      <c r="AL238" s="138"/>
    </row>
    <row r="239" spans="1:38" x14ac:dyDescent="0.35">
      <c r="A239" s="130">
        <v>39479</v>
      </c>
      <c r="B239" s="135">
        <v>459.56</v>
      </c>
      <c r="C239" s="178"/>
      <c r="D239" s="135">
        <v>210.95999999999998</v>
      </c>
      <c r="E239" s="132">
        <v>219.42</v>
      </c>
      <c r="F239" s="132">
        <v>270.97000000000003</v>
      </c>
      <c r="G239" s="126">
        <v>161.56</v>
      </c>
      <c r="H239" s="127">
        <v>158.79000000000002</v>
      </c>
      <c r="I239" s="132">
        <v>211.73000000000002</v>
      </c>
      <c r="J239" s="127">
        <v>223.29000000000002</v>
      </c>
      <c r="K239" s="127">
        <v>240.1</v>
      </c>
      <c r="L239" s="132">
        <v>212.27</v>
      </c>
      <c r="M239" s="127">
        <v>110.48000000000002</v>
      </c>
      <c r="N239" s="135">
        <v>138.66000000000003</v>
      </c>
      <c r="O239" s="126">
        <v>123.35000000000001</v>
      </c>
      <c r="P239" s="170">
        <v>152.6</v>
      </c>
      <c r="Q239" s="128">
        <v>130.94999999999999</v>
      </c>
      <c r="R239" s="170">
        <v>179.3</v>
      </c>
      <c r="S239" s="171">
        <v>455.62</v>
      </c>
      <c r="T239" s="136">
        <v>230.28000000000003</v>
      </c>
      <c r="U239" s="136">
        <v>337.5</v>
      </c>
      <c r="V239" s="136">
        <v>358.46000000000004</v>
      </c>
      <c r="W239" s="145">
        <v>478.1</v>
      </c>
      <c r="X239" s="145">
        <v>623.29999999999995</v>
      </c>
      <c r="Y239" s="175">
        <v>656.62</v>
      </c>
      <c r="Z239" s="137"/>
      <c r="AA239" s="137"/>
      <c r="AB239" s="137"/>
      <c r="AC239" s="137"/>
      <c r="AD239" s="137"/>
      <c r="AE239" s="137"/>
      <c r="AF239" s="137"/>
      <c r="AG239" s="145">
        <v>93.35</v>
      </c>
      <c r="AH239" s="137"/>
      <c r="AI239" s="137"/>
      <c r="AJ239" s="137">
        <v>107.77000000000001</v>
      </c>
      <c r="AK239" s="137"/>
      <c r="AL239" s="138"/>
    </row>
    <row r="240" spans="1:38" x14ac:dyDescent="0.35">
      <c r="A240" s="130">
        <v>39508</v>
      </c>
      <c r="B240" s="135">
        <v>459.63</v>
      </c>
      <c r="C240" s="178"/>
      <c r="D240" s="135">
        <v>211.31</v>
      </c>
      <c r="E240" s="132">
        <v>219.62</v>
      </c>
      <c r="F240" s="132">
        <v>270.87</v>
      </c>
      <c r="G240" s="126">
        <v>160.04000000000002</v>
      </c>
      <c r="H240" s="127">
        <v>158.22000000000003</v>
      </c>
      <c r="I240" s="132">
        <v>210.8</v>
      </c>
      <c r="J240" s="127">
        <v>223.41</v>
      </c>
      <c r="K240" s="127">
        <v>240.52</v>
      </c>
      <c r="L240" s="132">
        <v>212.46</v>
      </c>
      <c r="M240" s="127">
        <v>110.60000000000001</v>
      </c>
      <c r="N240" s="135">
        <v>136.76000000000002</v>
      </c>
      <c r="O240" s="126">
        <v>123.64000000000001</v>
      </c>
      <c r="P240" s="170">
        <v>152.6</v>
      </c>
      <c r="Q240" s="128">
        <v>131.32</v>
      </c>
      <c r="R240" s="170">
        <v>179.3</v>
      </c>
      <c r="S240" s="171">
        <v>454.44</v>
      </c>
      <c r="T240" s="136">
        <v>231.11</v>
      </c>
      <c r="U240" s="136">
        <v>337.40999999999997</v>
      </c>
      <c r="V240" s="136">
        <v>358.54</v>
      </c>
      <c r="W240" s="145">
        <v>478.1</v>
      </c>
      <c r="X240" s="145">
        <v>623.29999999999995</v>
      </c>
      <c r="Y240" s="175">
        <v>656.62</v>
      </c>
      <c r="Z240" s="137"/>
      <c r="AA240" s="137"/>
      <c r="AB240" s="137"/>
      <c r="AC240" s="137"/>
      <c r="AD240" s="137"/>
      <c r="AE240" s="137"/>
      <c r="AF240" s="137"/>
      <c r="AG240" s="145">
        <v>93.31</v>
      </c>
      <c r="AH240" s="137"/>
      <c r="AI240" s="137"/>
      <c r="AJ240" s="137">
        <v>108.03999999999999</v>
      </c>
      <c r="AK240" s="137"/>
      <c r="AL240" s="138"/>
    </row>
    <row r="241" spans="1:38" x14ac:dyDescent="0.35">
      <c r="A241" s="130">
        <v>39539</v>
      </c>
      <c r="B241" s="135">
        <v>459.8</v>
      </c>
      <c r="C241" s="178"/>
      <c r="D241" s="135">
        <v>211.35999999999999</v>
      </c>
      <c r="E241" s="132">
        <v>219.49</v>
      </c>
      <c r="F241" s="132">
        <v>270.62</v>
      </c>
      <c r="G241" s="126">
        <v>156.88</v>
      </c>
      <c r="H241" s="127">
        <v>156.59</v>
      </c>
      <c r="I241" s="132">
        <v>200.5</v>
      </c>
      <c r="J241" s="127">
        <v>223.14000000000001</v>
      </c>
      <c r="K241" s="127">
        <v>238.55</v>
      </c>
      <c r="L241" s="132">
        <v>212.26000000000002</v>
      </c>
      <c r="M241" s="127">
        <v>110.51000000000002</v>
      </c>
      <c r="N241" s="143">
        <v>135.6</v>
      </c>
      <c r="O241" s="126">
        <v>124.02000000000001</v>
      </c>
      <c r="P241" s="170">
        <v>152.6</v>
      </c>
      <c r="Q241" s="128">
        <v>131.79999999999998</v>
      </c>
      <c r="R241" s="170">
        <v>179.3</v>
      </c>
      <c r="S241" s="171">
        <v>463.02</v>
      </c>
      <c r="T241" s="136">
        <v>231.64000000000001</v>
      </c>
      <c r="U241" s="136">
        <v>337.23999999999995</v>
      </c>
      <c r="V241" s="136">
        <v>358.38</v>
      </c>
      <c r="W241" s="145">
        <v>478.1</v>
      </c>
      <c r="X241" s="145">
        <v>623.29999999999995</v>
      </c>
      <c r="Y241" s="175">
        <v>656.62</v>
      </c>
      <c r="Z241" s="137"/>
      <c r="AA241" s="137"/>
      <c r="AB241" s="137"/>
      <c r="AC241" s="137"/>
      <c r="AD241" s="137"/>
      <c r="AE241" s="137"/>
      <c r="AF241" s="137"/>
      <c r="AG241" s="145">
        <v>93.33</v>
      </c>
      <c r="AH241" s="137"/>
      <c r="AI241" s="137"/>
      <c r="AJ241" s="137">
        <v>108.24000000000001</v>
      </c>
      <c r="AK241" s="137"/>
      <c r="AL241" s="138"/>
    </row>
    <row r="242" spans="1:38" x14ac:dyDescent="0.35">
      <c r="A242" s="130">
        <v>39569</v>
      </c>
      <c r="B242" s="135">
        <v>459.85</v>
      </c>
      <c r="C242" s="178"/>
      <c r="D242" s="135">
        <v>211.51999999999998</v>
      </c>
      <c r="E242" s="132">
        <v>219.51</v>
      </c>
      <c r="F242" s="132">
        <v>270.38</v>
      </c>
      <c r="G242" s="126">
        <v>156.88</v>
      </c>
      <c r="H242" s="127">
        <v>156.20000000000002</v>
      </c>
      <c r="I242" s="132">
        <v>200.5</v>
      </c>
      <c r="J242" s="127">
        <v>223.02</v>
      </c>
      <c r="K242" s="127">
        <v>237.91</v>
      </c>
      <c r="L242" s="132">
        <v>212.15</v>
      </c>
      <c r="M242" s="127">
        <v>110.24000000000001</v>
      </c>
      <c r="N242" s="143">
        <v>135.6</v>
      </c>
      <c r="O242" s="126">
        <v>124.18</v>
      </c>
      <c r="P242" s="170">
        <v>152.6</v>
      </c>
      <c r="Q242" s="128">
        <v>131.88999999999999</v>
      </c>
      <c r="R242" s="170">
        <v>179.3</v>
      </c>
      <c r="S242" s="171">
        <v>461.10999999999996</v>
      </c>
      <c r="T242" s="136">
        <v>232.23000000000002</v>
      </c>
      <c r="U242" s="136">
        <v>337.30999999999995</v>
      </c>
      <c r="V242" s="136">
        <v>358.39000000000004</v>
      </c>
      <c r="W242" s="145">
        <v>478.1</v>
      </c>
      <c r="X242" s="145">
        <v>623.29999999999995</v>
      </c>
      <c r="Y242" s="175">
        <v>656.62</v>
      </c>
      <c r="Z242" s="137"/>
      <c r="AA242" s="137"/>
      <c r="AB242" s="137"/>
      <c r="AC242" s="137"/>
      <c r="AD242" s="137"/>
      <c r="AE242" s="137"/>
      <c r="AF242" s="137"/>
      <c r="AG242" s="145">
        <v>93.38</v>
      </c>
      <c r="AH242" s="137"/>
      <c r="AI242" s="137"/>
      <c r="AJ242" s="137">
        <v>108.28999999999999</v>
      </c>
      <c r="AK242" s="137"/>
      <c r="AL242" s="138"/>
    </row>
    <row r="243" spans="1:38" x14ac:dyDescent="0.35">
      <c r="A243" s="130">
        <v>39600</v>
      </c>
      <c r="B243" s="135">
        <v>459.78</v>
      </c>
      <c r="C243" s="178"/>
      <c r="D243" s="135">
        <v>211.12</v>
      </c>
      <c r="E243" s="132">
        <v>219.07999999999998</v>
      </c>
      <c r="F243" s="132">
        <v>269.85000000000002</v>
      </c>
      <c r="G243" s="126">
        <v>155.60000000000002</v>
      </c>
      <c r="H243" s="127">
        <v>155.9</v>
      </c>
      <c r="I243" s="132">
        <v>200.5</v>
      </c>
      <c r="J243" s="127">
        <v>222.8</v>
      </c>
      <c r="K243" s="127">
        <v>237.74</v>
      </c>
      <c r="L243" s="132">
        <v>212.02</v>
      </c>
      <c r="M243" s="127">
        <v>110.20000000000002</v>
      </c>
      <c r="N243" s="143">
        <v>135.6</v>
      </c>
      <c r="O243" s="126">
        <v>124.10000000000001</v>
      </c>
      <c r="P243" s="170">
        <v>152.6</v>
      </c>
      <c r="Q243" s="128">
        <v>131.63</v>
      </c>
      <c r="R243" s="170">
        <v>179.3</v>
      </c>
      <c r="S243" s="171">
        <v>460.02</v>
      </c>
      <c r="T243" s="136">
        <v>232.23000000000002</v>
      </c>
      <c r="U243" s="136">
        <v>337.33</v>
      </c>
      <c r="V243" s="136">
        <v>358.33000000000004</v>
      </c>
      <c r="W243" s="145">
        <v>478.1</v>
      </c>
      <c r="X243" s="145">
        <v>623.29999999999995</v>
      </c>
      <c r="Y243" s="175">
        <v>656.62</v>
      </c>
      <c r="Z243" s="137"/>
      <c r="AA243" s="137"/>
      <c r="AB243" s="137"/>
      <c r="AC243" s="137"/>
      <c r="AD243" s="137"/>
      <c r="AE243" s="137"/>
      <c r="AF243" s="137"/>
      <c r="AG243" s="145">
        <v>93.22999999999999</v>
      </c>
      <c r="AH243" s="137"/>
      <c r="AI243" s="137"/>
      <c r="AJ243" s="137">
        <v>108.15</v>
      </c>
      <c r="AK243" s="137"/>
      <c r="AL243" s="138"/>
    </row>
    <row r="244" spans="1:38" x14ac:dyDescent="0.35">
      <c r="A244" s="130">
        <v>39630</v>
      </c>
      <c r="B244" s="135">
        <v>459.75</v>
      </c>
      <c r="C244" s="178"/>
      <c r="D244" s="135">
        <v>211.03</v>
      </c>
      <c r="E244" s="132">
        <v>219</v>
      </c>
      <c r="F244" s="132">
        <v>268.28000000000003</v>
      </c>
      <c r="G244" s="126">
        <v>156.54000000000002</v>
      </c>
      <c r="H244" s="127">
        <v>156.11000000000001</v>
      </c>
      <c r="I244" s="132">
        <v>210.74</v>
      </c>
      <c r="J244" s="127">
        <v>222.71</v>
      </c>
      <c r="K244" s="127">
        <v>237.39000000000001</v>
      </c>
      <c r="L244" s="132">
        <v>211.92000000000002</v>
      </c>
      <c r="M244" s="127">
        <v>110.10000000000001</v>
      </c>
      <c r="N244" s="143">
        <v>135.6</v>
      </c>
      <c r="O244" s="126">
        <v>123.94000000000001</v>
      </c>
      <c r="P244" s="170">
        <v>152.6</v>
      </c>
      <c r="Q244" s="128">
        <v>131.31</v>
      </c>
      <c r="R244" s="170">
        <v>179.3</v>
      </c>
      <c r="S244" s="171">
        <v>459.95</v>
      </c>
      <c r="T244" s="136">
        <v>232.14000000000001</v>
      </c>
      <c r="U244" s="136">
        <v>337.33</v>
      </c>
      <c r="V244" s="136">
        <v>358.24</v>
      </c>
      <c r="W244" s="145">
        <v>478.1</v>
      </c>
      <c r="X244" s="145">
        <v>623.29999999999995</v>
      </c>
      <c r="Y244" s="175">
        <v>656.62</v>
      </c>
      <c r="Z244" s="137"/>
      <c r="AA244" s="137"/>
      <c r="AB244" s="137"/>
      <c r="AC244" s="137"/>
      <c r="AD244" s="137"/>
      <c r="AE244" s="137"/>
      <c r="AF244" s="137"/>
      <c r="AG244" s="145">
        <v>93.15</v>
      </c>
      <c r="AH244" s="137"/>
      <c r="AI244" s="137"/>
      <c r="AJ244" s="137">
        <v>107.99000000000001</v>
      </c>
      <c r="AK244" s="137"/>
      <c r="AL244" s="138"/>
    </row>
    <row r="245" spans="1:38" x14ac:dyDescent="0.35">
      <c r="A245" s="130">
        <v>39661</v>
      </c>
      <c r="B245" s="135">
        <v>459.7</v>
      </c>
      <c r="C245" s="178"/>
      <c r="D245" s="135">
        <v>210.79</v>
      </c>
      <c r="E245" s="132">
        <v>218.79999999999998</v>
      </c>
      <c r="F245" s="132">
        <v>267.71000000000004</v>
      </c>
      <c r="G245" s="126">
        <v>155.82000000000002</v>
      </c>
      <c r="H245" s="127">
        <v>155.46</v>
      </c>
      <c r="I245" s="132">
        <v>212.46</v>
      </c>
      <c r="J245" s="127">
        <v>222.60000000000002</v>
      </c>
      <c r="K245" s="127">
        <v>236.22</v>
      </c>
      <c r="L245" s="132">
        <v>211.87</v>
      </c>
      <c r="M245" s="127">
        <v>109.98000000000002</v>
      </c>
      <c r="N245" s="143">
        <v>135.6</v>
      </c>
      <c r="O245" s="126">
        <v>123.64000000000001</v>
      </c>
      <c r="P245" s="170">
        <v>152.6</v>
      </c>
      <c r="Q245" s="128">
        <v>131.01</v>
      </c>
      <c r="R245" s="170">
        <v>179.3</v>
      </c>
      <c r="S245" s="171">
        <v>459.88</v>
      </c>
      <c r="T245" s="136">
        <v>232.02</v>
      </c>
      <c r="U245" s="136">
        <v>337.38</v>
      </c>
      <c r="V245" s="136">
        <v>358.24</v>
      </c>
      <c r="W245" s="145">
        <v>478.1</v>
      </c>
      <c r="X245" s="145">
        <v>623.29999999999995</v>
      </c>
      <c r="Y245" s="175">
        <v>656.62</v>
      </c>
      <c r="Z245" s="137"/>
      <c r="AA245" s="137"/>
      <c r="AB245" s="137"/>
      <c r="AC245" s="137"/>
      <c r="AD245" s="137"/>
      <c r="AE245" s="137"/>
      <c r="AF245" s="137"/>
      <c r="AG245" s="145">
        <v>93.02000000000001</v>
      </c>
      <c r="AH245" s="137"/>
      <c r="AI245" s="137"/>
      <c r="AJ245" s="137">
        <v>107.7</v>
      </c>
      <c r="AK245" s="137"/>
      <c r="AL245" s="138"/>
    </row>
    <row r="246" spans="1:38" x14ac:dyDescent="0.35">
      <c r="A246" s="130">
        <v>39692</v>
      </c>
      <c r="B246" s="135">
        <v>459.63</v>
      </c>
      <c r="C246" s="178"/>
      <c r="D246" s="135">
        <v>210.57999999999998</v>
      </c>
      <c r="E246" s="132">
        <v>218.60999999999999</v>
      </c>
      <c r="F246" s="132">
        <v>267.65000000000003</v>
      </c>
      <c r="G246" s="126">
        <v>155.55000000000001</v>
      </c>
      <c r="H246" s="127">
        <v>155.38</v>
      </c>
      <c r="I246" s="132">
        <v>212.51000000000002</v>
      </c>
      <c r="J246" s="127">
        <v>222.57</v>
      </c>
      <c r="K246" s="127">
        <v>235.61</v>
      </c>
      <c r="L246" s="132">
        <v>211.83</v>
      </c>
      <c r="M246" s="127">
        <v>109.66000000000001</v>
      </c>
      <c r="N246" s="143">
        <v>135.6</v>
      </c>
      <c r="O246" s="126">
        <v>123.48000000000002</v>
      </c>
      <c r="P246" s="170">
        <v>152.6</v>
      </c>
      <c r="Q246" s="128">
        <v>130.65999999999997</v>
      </c>
      <c r="R246" s="170">
        <v>179.3</v>
      </c>
      <c r="S246" s="171">
        <v>459.85999999999996</v>
      </c>
      <c r="T246" s="136">
        <v>231.70000000000002</v>
      </c>
      <c r="U246" s="136">
        <v>337.38</v>
      </c>
      <c r="V246" s="136">
        <v>358.19</v>
      </c>
      <c r="W246" s="145">
        <v>478.1</v>
      </c>
      <c r="X246" s="145">
        <v>623.29999999999995</v>
      </c>
      <c r="Y246" s="175">
        <v>656.62</v>
      </c>
      <c r="Z246" s="137"/>
      <c r="AA246" s="137"/>
      <c r="AB246" s="137"/>
      <c r="AC246" s="137"/>
      <c r="AD246" s="137"/>
      <c r="AE246" s="137"/>
      <c r="AF246" s="137"/>
      <c r="AG246" s="145">
        <v>92.960000000000008</v>
      </c>
      <c r="AH246" s="137"/>
      <c r="AI246" s="137"/>
      <c r="AJ246" s="137">
        <v>107.63</v>
      </c>
      <c r="AK246" s="137"/>
      <c r="AL246" s="138"/>
    </row>
    <row r="247" spans="1:38" x14ac:dyDescent="0.35">
      <c r="A247" s="130">
        <v>39722</v>
      </c>
      <c r="B247" s="135">
        <v>459.55</v>
      </c>
      <c r="C247" s="178"/>
      <c r="D247" s="135">
        <v>210.26</v>
      </c>
      <c r="E247" s="132">
        <v>218.26</v>
      </c>
      <c r="F247" s="132">
        <v>267.32</v>
      </c>
      <c r="G247" s="126">
        <v>155.31</v>
      </c>
      <c r="H247" s="127">
        <v>155.42000000000002</v>
      </c>
      <c r="I247" s="132">
        <v>202.22</v>
      </c>
      <c r="J247" s="127">
        <v>222.46</v>
      </c>
      <c r="K247" s="127">
        <v>235.56</v>
      </c>
      <c r="L247" s="132">
        <v>211.76000000000002</v>
      </c>
      <c r="M247" s="127">
        <v>109.43</v>
      </c>
      <c r="N247" s="143">
        <v>135.6</v>
      </c>
      <c r="O247" s="126">
        <v>123.21000000000001</v>
      </c>
      <c r="P247" s="170">
        <v>152.6</v>
      </c>
      <c r="Q247" s="128">
        <v>130.14999999999998</v>
      </c>
      <c r="R247" s="170">
        <v>179.3</v>
      </c>
      <c r="S247" s="171">
        <v>459.82</v>
      </c>
      <c r="T247" s="136">
        <v>231.41000000000003</v>
      </c>
      <c r="U247" s="136">
        <v>337.28999999999996</v>
      </c>
      <c r="V247" s="136">
        <v>358.09000000000003</v>
      </c>
      <c r="W247" s="145">
        <v>478.1</v>
      </c>
      <c r="X247" s="145">
        <v>623.29999999999995</v>
      </c>
      <c r="Y247" s="175">
        <v>656.62</v>
      </c>
      <c r="Z247" s="137"/>
      <c r="AA247" s="137"/>
      <c r="AB247" s="137"/>
      <c r="AC247" s="137"/>
      <c r="AD247" s="137"/>
      <c r="AE247" s="137"/>
      <c r="AF247" s="137"/>
      <c r="AG247" s="145">
        <v>92.93</v>
      </c>
      <c r="AH247" s="137"/>
      <c r="AI247" s="137"/>
      <c r="AJ247" s="137">
        <v>107.44</v>
      </c>
      <c r="AK247" s="137"/>
      <c r="AL247" s="138"/>
    </row>
    <row r="248" spans="1:38" x14ac:dyDescent="0.35">
      <c r="A248" s="130">
        <v>39753</v>
      </c>
      <c r="B248" s="135">
        <v>459.51</v>
      </c>
      <c r="C248" s="178"/>
      <c r="D248" s="135">
        <v>210.04</v>
      </c>
      <c r="E248" s="132">
        <v>218.07</v>
      </c>
      <c r="F248" s="132">
        <v>267.05</v>
      </c>
      <c r="G248" s="126">
        <v>155.36000000000001</v>
      </c>
      <c r="H248" s="127">
        <v>155.48000000000002</v>
      </c>
      <c r="I248" s="132">
        <v>211.29000000000002</v>
      </c>
      <c r="J248" s="127">
        <v>222.45000000000002</v>
      </c>
      <c r="K248" s="127">
        <v>234.58</v>
      </c>
      <c r="L248" s="132">
        <v>211.71</v>
      </c>
      <c r="M248" s="127">
        <v>109.35000000000001</v>
      </c>
      <c r="N248" s="143">
        <v>135.6</v>
      </c>
      <c r="O248" s="126">
        <v>122.95000000000002</v>
      </c>
      <c r="P248" s="170">
        <v>152.6</v>
      </c>
      <c r="Q248" s="128">
        <v>129.65999999999997</v>
      </c>
      <c r="R248" s="170">
        <v>179.3</v>
      </c>
      <c r="S248" s="171">
        <v>459.78</v>
      </c>
      <c r="T248" s="136">
        <v>231.00000000000003</v>
      </c>
      <c r="U248" s="136">
        <v>337.21</v>
      </c>
      <c r="V248" s="136">
        <v>358.03000000000003</v>
      </c>
      <c r="W248" s="145">
        <v>478.1</v>
      </c>
      <c r="X248" s="145">
        <v>623.29999999999995</v>
      </c>
      <c r="Y248" s="175">
        <v>656.62</v>
      </c>
      <c r="Z248" s="137"/>
      <c r="AA248" s="137"/>
      <c r="AB248" s="137"/>
      <c r="AC248" s="137"/>
      <c r="AD248" s="137"/>
      <c r="AE248" s="137"/>
      <c r="AF248" s="137"/>
      <c r="AG248" s="145">
        <v>92.8</v>
      </c>
      <c r="AH248" s="137"/>
      <c r="AI248" s="137"/>
      <c r="AJ248" s="137">
        <v>107.25999999999999</v>
      </c>
      <c r="AK248" s="137"/>
      <c r="AL248" s="138"/>
    </row>
    <row r="249" spans="1:38" x14ac:dyDescent="0.35">
      <c r="A249" s="130">
        <v>39783</v>
      </c>
      <c r="B249" s="135">
        <v>459.5</v>
      </c>
      <c r="C249" s="178"/>
      <c r="D249" s="135">
        <v>210.01</v>
      </c>
      <c r="E249" s="132">
        <v>218.01</v>
      </c>
      <c r="F249" s="132">
        <v>267.12</v>
      </c>
      <c r="G249" s="126">
        <v>156.46</v>
      </c>
      <c r="H249" s="127">
        <v>155.92000000000002</v>
      </c>
      <c r="I249" s="132">
        <v>213.18</v>
      </c>
      <c r="J249" s="127">
        <v>222.38</v>
      </c>
      <c r="K249" s="127">
        <v>234.28</v>
      </c>
      <c r="L249" s="132">
        <v>211.68</v>
      </c>
      <c r="M249" s="127">
        <v>109.34</v>
      </c>
      <c r="N249" s="143">
        <v>135.6</v>
      </c>
      <c r="O249" s="126">
        <v>122.76000000000002</v>
      </c>
      <c r="P249" s="170">
        <v>152.6</v>
      </c>
      <c r="Q249" s="128">
        <v>129.39999999999998</v>
      </c>
      <c r="R249" s="170">
        <v>179.3</v>
      </c>
      <c r="S249" s="171">
        <v>459.74</v>
      </c>
      <c r="T249" s="136">
        <v>231.14000000000001</v>
      </c>
      <c r="U249" s="136">
        <v>337.26</v>
      </c>
      <c r="V249" s="136">
        <v>358.09000000000003</v>
      </c>
      <c r="W249" s="145">
        <v>478.1</v>
      </c>
      <c r="X249" s="145">
        <v>623.29999999999995</v>
      </c>
      <c r="Y249" s="175">
        <v>656.62</v>
      </c>
      <c r="Z249" s="137"/>
      <c r="AA249" s="137"/>
      <c r="AB249" s="137"/>
      <c r="AC249" s="137"/>
      <c r="AD249" s="137"/>
      <c r="AE249" s="137"/>
      <c r="AF249" s="137"/>
      <c r="AG249" s="145">
        <v>92.77000000000001</v>
      </c>
      <c r="AH249" s="137"/>
      <c r="AI249" s="137"/>
      <c r="AJ249" s="137">
        <v>107.08</v>
      </c>
      <c r="AK249" s="137"/>
      <c r="AL249" s="138"/>
    </row>
    <row r="250" spans="1:38" x14ac:dyDescent="0.35">
      <c r="A250" s="130">
        <v>39814</v>
      </c>
      <c r="B250" s="135">
        <v>459.42</v>
      </c>
      <c r="C250" s="178"/>
      <c r="D250" s="135">
        <v>210.01</v>
      </c>
      <c r="E250" s="132">
        <v>218.18</v>
      </c>
      <c r="F250" s="132">
        <v>267.85000000000002</v>
      </c>
      <c r="G250" s="126">
        <v>156.97000000000003</v>
      </c>
      <c r="H250" s="127">
        <v>156.34</v>
      </c>
      <c r="I250" s="132">
        <v>213.15</v>
      </c>
      <c r="J250" s="127">
        <v>222.46</v>
      </c>
      <c r="K250" s="127">
        <v>233.97</v>
      </c>
      <c r="L250" s="132">
        <v>211.72</v>
      </c>
      <c r="M250" s="127">
        <v>109.27000000000001</v>
      </c>
      <c r="N250" s="143">
        <v>135.6</v>
      </c>
      <c r="O250" s="126">
        <v>122.55000000000001</v>
      </c>
      <c r="P250" s="170">
        <v>152.6</v>
      </c>
      <c r="Q250" s="128">
        <v>129.13999999999999</v>
      </c>
      <c r="R250" s="170">
        <v>179.3</v>
      </c>
      <c r="S250" s="171">
        <v>462.87</v>
      </c>
      <c r="T250" s="136">
        <v>230.70000000000002</v>
      </c>
      <c r="U250" s="136">
        <v>337.22999999999996</v>
      </c>
      <c r="V250" s="136">
        <v>358.09000000000003</v>
      </c>
      <c r="W250" s="145">
        <v>478.1</v>
      </c>
      <c r="X250" s="145">
        <v>623.29999999999995</v>
      </c>
      <c r="Y250" s="175">
        <v>656.62</v>
      </c>
      <c r="Z250" s="137"/>
      <c r="AA250" s="137"/>
      <c r="AB250" s="137"/>
      <c r="AC250" s="137"/>
      <c r="AD250" s="137"/>
      <c r="AE250" s="137"/>
      <c r="AF250" s="137"/>
      <c r="AG250" s="145">
        <v>92.7</v>
      </c>
      <c r="AH250" s="137"/>
      <c r="AI250" s="137"/>
      <c r="AJ250" s="137">
        <v>106.97</v>
      </c>
      <c r="AK250" s="137"/>
      <c r="AL250" s="138"/>
    </row>
    <row r="251" spans="1:38" x14ac:dyDescent="0.35">
      <c r="A251" s="130">
        <v>39845</v>
      </c>
      <c r="B251" s="135">
        <v>459.43</v>
      </c>
      <c r="C251" s="178"/>
      <c r="D251" s="135">
        <v>210.13</v>
      </c>
      <c r="E251" s="132">
        <v>218.5</v>
      </c>
      <c r="F251" s="132">
        <v>269.73</v>
      </c>
      <c r="G251" s="126">
        <v>161.35000000000002</v>
      </c>
      <c r="H251" s="127">
        <v>157.37</v>
      </c>
      <c r="I251" s="132">
        <v>213.3</v>
      </c>
      <c r="J251" s="127">
        <v>222.64000000000001</v>
      </c>
      <c r="K251" s="127">
        <v>235.7</v>
      </c>
      <c r="L251" s="132">
        <v>212</v>
      </c>
      <c r="M251" s="127">
        <v>109.38000000000001</v>
      </c>
      <c r="N251" s="135">
        <v>152.48000000000002</v>
      </c>
      <c r="O251" s="126">
        <v>122.49000000000001</v>
      </c>
      <c r="P251" s="170">
        <v>152.6</v>
      </c>
      <c r="Q251" s="128">
        <v>129.27999999999997</v>
      </c>
      <c r="R251" s="170">
        <v>179.3</v>
      </c>
      <c r="S251" s="171">
        <v>462.89</v>
      </c>
      <c r="T251" s="136">
        <v>230.69000000000003</v>
      </c>
      <c r="U251" s="136">
        <v>337.15</v>
      </c>
      <c r="V251" s="136">
        <v>358.28000000000003</v>
      </c>
      <c r="W251" s="145">
        <v>478.1</v>
      </c>
      <c r="X251" s="145">
        <v>623.29999999999995</v>
      </c>
      <c r="Y251" s="175">
        <v>656.62</v>
      </c>
      <c r="Z251" s="137"/>
      <c r="AA251" s="137"/>
      <c r="AB251" s="137"/>
      <c r="AC251" s="137"/>
      <c r="AD251" s="137"/>
      <c r="AE251" s="137"/>
      <c r="AF251" s="137"/>
      <c r="AG251" s="145">
        <v>92.66</v>
      </c>
      <c r="AH251" s="137"/>
      <c r="AI251" s="137"/>
      <c r="AJ251" s="137">
        <v>106.95</v>
      </c>
      <c r="AK251" s="137"/>
      <c r="AL251" s="138"/>
    </row>
    <row r="252" spans="1:38" x14ac:dyDescent="0.35">
      <c r="A252" s="130">
        <v>39873</v>
      </c>
      <c r="B252" s="135">
        <v>459.55</v>
      </c>
      <c r="C252" s="178"/>
      <c r="D252" s="135">
        <v>210.57</v>
      </c>
      <c r="E252" s="132">
        <v>218.87</v>
      </c>
      <c r="F252" s="132">
        <v>269.55</v>
      </c>
      <c r="G252" s="126">
        <v>158.92000000000002</v>
      </c>
      <c r="H252" s="127">
        <v>157.56</v>
      </c>
      <c r="I252" s="132">
        <v>212.47</v>
      </c>
      <c r="J252" s="127">
        <v>222.97</v>
      </c>
      <c r="K252" s="127">
        <v>236.69</v>
      </c>
      <c r="L252" s="132">
        <v>212.22</v>
      </c>
      <c r="M252" s="127">
        <v>109.39000000000001</v>
      </c>
      <c r="N252" s="143">
        <v>135.6</v>
      </c>
      <c r="O252" s="126">
        <v>122.84</v>
      </c>
      <c r="P252" s="170">
        <v>152.6</v>
      </c>
      <c r="Q252" s="128">
        <v>129.94</v>
      </c>
      <c r="R252" s="170">
        <v>179.3</v>
      </c>
      <c r="S252" s="171">
        <v>447.53</v>
      </c>
      <c r="T252" s="136">
        <v>231.34000000000003</v>
      </c>
      <c r="U252" s="136">
        <v>337.14</v>
      </c>
      <c r="V252" s="136">
        <v>358.05</v>
      </c>
      <c r="W252" s="145">
        <v>478.1</v>
      </c>
      <c r="X252" s="145">
        <v>623.29999999999995</v>
      </c>
      <c r="Y252" s="175">
        <v>656.62</v>
      </c>
      <c r="Z252" s="137"/>
      <c r="AA252" s="137"/>
      <c r="AB252" s="137"/>
      <c r="AC252" s="137"/>
      <c r="AD252" s="137"/>
      <c r="AE252" s="137"/>
      <c r="AF252" s="137"/>
      <c r="AG252" s="145">
        <v>92.69</v>
      </c>
      <c r="AH252" s="137"/>
      <c r="AI252" s="137"/>
      <c r="AJ252" s="137">
        <v>107.06</v>
      </c>
      <c r="AK252" s="137"/>
      <c r="AL252" s="138"/>
    </row>
    <row r="253" spans="1:38" x14ac:dyDescent="0.35">
      <c r="A253" s="130">
        <v>39904</v>
      </c>
      <c r="B253" s="135">
        <v>459.69</v>
      </c>
      <c r="C253" s="178"/>
      <c r="D253" s="135">
        <v>210.72</v>
      </c>
      <c r="E253" s="132">
        <v>218.76999999999998</v>
      </c>
      <c r="F253" s="132">
        <v>269.17</v>
      </c>
      <c r="G253" s="126">
        <v>156.65</v>
      </c>
      <c r="H253" s="127">
        <v>156.37</v>
      </c>
      <c r="I253" s="132">
        <v>212.3</v>
      </c>
      <c r="J253" s="127">
        <v>222.85000000000002</v>
      </c>
      <c r="K253" s="127">
        <v>235.73000000000002</v>
      </c>
      <c r="L253" s="132">
        <v>212.09</v>
      </c>
      <c r="M253" s="127">
        <v>109.4</v>
      </c>
      <c r="N253" s="143">
        <v>135.6</v>
      </c>
      <c r="O253" s="126">
        <v>123.21000000000001</v>
      </c>
      <c r="P253" s="170">
        <v>152.6</v>
      </c>
      <c r="Q253" s="128">
        <v>130.08999999999997</v>
      </c>
      <c r="R253" s="170">
        <v>179.3</v>
      </c>
      <c r="S253" s="171">
        <v>426.4</v>
      </c>
      <c r="T253" s="136">
        <v>232.03000000000003</v>
      </c>
      <c r="U253" s="136">
        <v>336.98999999999995</v>
      </c>
      <c r="V253" s="136">
        <v>358.23</v>
      </c>
      <c r="W253" s="145">
        <v>478.1</v>
      </c>
      <c r="X253" s="145">
        <v>623.29999999999995</v>
      </c>
      <c r="Y253" s="175">
        <v>656.62</v>
      </c>
      <c r="Z253" s="137"/>
      <c r="AA253" s="137"/>
      <c r="AB253" s="137"/>
      <c r="AC253" s="137"/>
      <c r="AD253" s="137"/>
      <c r="AE253" s="137"/>
      <c r="AF253" s="137"/>
      <c r="AG253" s="145">
        <v>92.5</v>
      </c>
      <c r="AH253" s="137"/>
      <c r="AI253" s="137"/>
      <c r="AJ253" s="137">
        <v>107.14</v>
      </c>
      <c r="AK253" s="137"/>
      <c r="AL253" s="138"/>
    </row>
    <row r="254" spans="1:38" x14ac:dyDescent="0.35">
      <c r="A254" s="130">
        <v>39934</v>
      </c>
      <c r="B254" s="135">
        <v>459.5</v>
      </c>
      <c r="C254" s="178"/>
      <c r="D254" s="135">
        <v>210.54999999999998</v>
      </c>
      <c r="E254" s="132">
        <v>218.73</v>
      </c>
      <c r="F254" s="132">
        <v>269.06</v>
      </c>
      <c r="G254" s="126">
        <v>155.94</v>
      </c>
      <c r="H254" s="127">
        <v>155.93</v>
      </c>
      <c r="I254" s="132">
        <v>208.79000000000002</v>
      </c>
      <c r="J254" s="127">
        <v>223.72</v>
      </c>
      <c r="K254" s="127">
        <v>234.99</v>
      </c>
      <c r="L254" s="132">
        <v>212</v>
      </c>
      <c r="M254" s="127">
        <v>109.59</v>
      </c>
      <c r="N254" s="143">
        <v>135.6</v>
      </c>
      <c r="O254" s="126">
        <v>123.30000000000001</v>
      </c>
      <c r="P254" s="170">
        <v>152.6</v>
      </c>
      <c r="Q254" s="128">
        <v>129.96999999999997</v>
      </c>
      <c r="R254" s="170">
        <v>179.3</v>
      </c>
      <c r="S254" s="171">
        <v>429</v>
      </c>
      <c r="T254" s="136">
        <v>232.21</v>
      </c>
      <c r="U254" s="136">
        <v>337.03999999999996</v>
      </c>
      <c r="V254" s="136">
        <v>358.29</v>
      </c>
      <c r="W254" s="145">
        <v>478.1</v>
      </c>
      <c r="X254" s="145">
        <v>623.29999999999995</v>
      </c>
      <c r="Y254" s="175">
        <v>656.62</v>
      </c>
      <c r="Z254" s="137"/>
      <c r="AA254" s="137"/>
      <c r="AB254" s="137"/>
      <c r="AC254" s="137"/>
      <c r="AD254" s="137"/>
      <c r="AE254" s="137"/>
      <c r="AF254" s="137"/>
      <c r="AG254" s="145">
        <v>92.6</v>
      </c>
      <c r="AH254" s="137"/>
      <c r="AI254" s="137"/>
      <c r="AJ254" s="137">
        <v>107.13</v>
      </c>
      <c r="AK254" s="137"/>
      <c r="AL254" s="138"/>
    </row>
    <row r="255" spans="1:38" x14ac:dyDescent="0.35">
      <c r="A255" s="130">
        <v>39965</v>
      </c>
      <c r="B255" s="135">
        <v>459.5</v>
      </c>
      <c r="C255" s="178"/>
      <c r="D255" s="135">
        <v>210.47</v>
      </c>
      <c r="E255" s="132">
        <v>218.34</v>
      </c>
      <c r="F255" s="132">
        <v>268.61</v>
      </c>
      <c r="G255" s="126">
        <v>155.53</v>
      </c>
      <c r="H255" s="127">
        <v>155.73000000000002</v>
      </c>
      <c r="I255" s="132">
        <v>200.5</v>
      </c>
      <c r="J255" s="127">
        <v>222.63</v>
      </c>
      <c r="K255" s="127">
        <v>234.34</v>
      </c>
      <c r="L255" s="132">
        <v>211.92000000000002</v>
      </c>
      <c r="M255" s="127">
        <v>109.69000000000001</v>
      </c>
      <c r="N255" s="143">
        <v>135.6</v>
      </c>
      <c r="O255" s="126">
        <v>123.35000000000001</v>
      </c>
      <c r="P255" s="170">
        <v>152.6</v>
      </c>
      <c r="Q255" s="128">
        <v>129.82</v>
      </c>
      <c r="R255" s="170">
        <v>179.3</v>
      </c>
      <c r="S255" s="174">
        <v>427</v>
      </c>
      <c r="T255" s="136">
        <v>232.31</v>
      </c>
      <c r="U255" s="136">
        <v>337.03999999999996</v>
      </c>
      <c r="V255" s="136">
        <v>358.22</v>
      </c>
      <c r="W255" s="145">
        <v>478.1</v>
      </c>
      <c r="X255" s="145">
        <v>623.29999999999995</v>
      </c>
      <c r="Y255" s="175">
        <v>656.62</v>
      </c>
      <c r="Z255" s="137"/>
      <c r="AA255" s="137"/>
      <c r="AB255" s="137"/>
      <c r="AC255" s="137"/>
      <c r="AD255" s="137"/>
      <c r="AE255" s="137"/>
      <c r="AF255" s="137"/>
      <c r="AG255" s="145">
        <v>92.56</v>
      </c>
      <c r="AH255" s="137"/>
      <c r="AI255" s="137"/>
      <c r="AJ255" s="137">
        <v>107.14</v>
      </c>
      <c r="AK255" s="137"/>
      <c r="AL255" s="138"/>
    </row>
    <row r="256" spans="1:38" x14ac:dyDescent="0.35">
      <c r="A256" s="130">
        <v>39995</v>
      </c>
      <c r="B256" s="135">
        <v>459.4</v>
      </c>
      <c r="C256" s="178"/>
      <c r="D256" s="135">
        <v>209.98999999999998</v>
      </c>
      <c r="E256" s="132">
        <v>217.88</v>
      </c>
      <c r="F256" s="132">
        <v>268.22000000000003</v>
      </c>
      <c r="G256" s="126">
        <v>155.16000000000003</v>
      </c>
      <c r="H256" s="127">
        <v>155.54000000000002</v>
      </c>
      <c r="I256" s="132">
        <v>200.5</v>
      </c>
      <c r="J256" s="127">
        <v>222.53</v>
      </c>
      <c r="K256" s="127">
        <v>233.44</v>
      </c>
      <c r="L256" s="132">
        <v>211.84</v>
      </c>
      <c r="M256" s="127">
        <v>109.87</v>
      </c>
      <c r="N256" s="143">
        <v>135.6</v>
      </c>
      <c r="O256" s="126">
        <v>122.27000000000001</v>
      </c>
      <c r="P256" s="170">
        <v>152.6</v>
      </c>
      <c r="Q256" s="128">
        <v>129.54</v>
      </c>
      <c r="R256" s="170">
        <v>179.3</v>
      </c>
      <c r="S256" s="174">
        <v>427</v>
      </c>
      <c r="T256" s="136">
        <v>231.82000000000002</v>
      </c>
      <c r="U256" s="136">
        <v>336.95</v>
      </c>
      <c r="V256" s="136">
        <v>358.11</v>
      </c>
      <c r="W256" s="145">
        <v>478.1</v>
      </c>
      <c r="X256" s="145">
        <v>623.29999999999995</v>
      </c>
      <c r="Y256" s="175">
        <v>656.62</v>
      </c>
      <c r="Z256" s="137"/>
      <c r="AA256" s="137"/>
      <c r="AB256" s="137"/>
      <c r="AC256" s="137"/>
      <c r="AD256" s="137"/>
      <c r="AE256" s="137"/>
      <c r="AF256" s="137"/>
      <c r="AG256" s="145">
        <v>92.47999999999999</v>
      </c>
      <c r="AH256" s="137"/>
      <c r="AI256" s="137"/>
      <c r="AJ256" s="137">
        <v>107.1</v>
      </c>
      <c r="AK256" s="137"/>
      <c r="AL256" s="138"/>
    </row>
    <row r="257" spans="1:38" x14ac:dyDescent="0.35">
      <c r="A257" s="130">
        <v>40026</v>
      </c>
      <c r="B257" s="135">
        <v>459.39</v>
      </c>
      <c r="C257" s="178"/>
      <c r="D257" s="135">
        <v>209.85</v>
      </c>
      <c r="E257" s="132">
        <v>217.69</v>
      </c>
      <c r="F257" s="132">
        <v>267.89</v>
      </c>
      <c r="G257" s="126">
        <v>155.54000000000002</v>
      </c>
      <c r="H257" s="127">
        <v>155.71</v>
      </c>
      <c r="I257" s="132">
        <v>200.5</v>
      </c>
      <c r="J257" s="127">
        <v>222.45000000000002</v>
      </c>
      <c r="K257" s="127">
        <v>232.66</v>
      </c>
      <c r="L257" s="132">
        <v>211.78</v>
      </c>
      <c r="M257" s="127">
        <v>109.81</v>
      </c>
      <c r="N257" s="143">
        <v>135.6</v>
      </c>
      <c r="O257" s="126">
        <v>123.14000000000001</v>
      </c>
      <c r="P257" s="170">
        <v>152.6</v>
      </c>
      <c r="Q257" s="128">
        <v>129.19999999999999</v>
      </c>
      <c r="R257" s="170">
        <v>179.3</v>
      </c>
      <c r="S257" s="174">
        <v>427</v>
      </c>
      <c r="T257" s="136">
        <v>231.69000000000003</v>
      </c>
      <c r="U257" s="136">
        <v>336.92999999999995</v>
      </c>
      <c r="V257" s="136">
        <v>358.04</v>
      </c>
      <c r="W257" s="145">
        <v>478.1</v>
      </c>
      <c r="X257" s="145">
        <v>623.29999999999995</v>
      </c>
      <c r="Y257" s="175">
        <v>656.62</v>
      </c>
      <c r="Z257" s="137"/>
      <c r="AA257" s="137"/>
      <c r="AB257" s="137"/>
      <c r="AC257" s="137"/>
      <c r="AD257" s="137"/>
      <c r="AE257" s="137"/>
      <c r="AF257" s="137"/>
      <c r="AG257" s="145">
        <v>92.39</v>
      </c>
      <c r="AH257" s="137"/>
      <c r="AI257" s="137"/>
      <c r="AJ257" s="137">
        <v>107</v>
      </c>
      <c r="AK257" s="137"/>
      <c r="AL257" s="138"/>
    </row>
    <row r="258" spans="1:38" x14ac:dyDescent="0.35">
      <c r="A258" s="130">
        <v>40057</v>
      </c>
      <c r="B258" s="135">
        <v>459.39</v>
      </c>
      <c r="C258" s="178"/>
      <c r="D258" s="135">
        <v>209.54</v>
      </c>
      <c r="E258" s="132">
        <v>217.35999999999999</v>
      </c>
      <c r="F258" s="132">
        <v>267.41000000000003</v>
      </c>
      <c r="G258" s="126">
        <v>155.18</v>
      </c>
      <c r="H258" s="127">
        <v>155.54000000000002</v>
      </c>
      <c r="I258" s="132">
        <v>200.5</v>
      </c>
      <c r="J258" s="127">
        <v>222.4</v>
      </c>
      <c r="K258" s="127">
        <v>232.42000000000002</v>
      </c>
      <c r="L258" s="132">
        <v>211.78</v>
      </c>
      <c r="M258" s="127">
        <v>109.85000000000001</v>
      </c>
      <c r="N258" s="143">
        <v>135.6</v>
      </c>
      <c r="O258" s="126">
        <v>123</v>
      </c>
      <c r="P258" s="170">
        <v>152.6</v>
      </c>
      <c r="Q258" s="128">
        <v>128.82</v>
      </c>
      <c r="R258" s="170">
        <v>179.3</v>
      </c>
      <c r="S258" s="174">
        <v>427</v>
      </c>
      <c r="T258" s="136">
        <v>231.27</v>
      </c>
      <c r="U258" s="136">
        <v>336.96</v>
      </c>
      <c r="V258" s="136">
        <v>358.12</v>
      </c>
      <c r="W258" s="145">
        <v>478.1</v>
      </c>
      <c r="X258" s="145">
        <v>623.29999999999995</v>
      </c>
      <c r="Y258" s="175">
        <v>656.62</v>
      </c>
      <c r="Z258" s="137"/>
      <c r="AA258" s="137"/>
      <c r="AB258" s="137"/>
      <c r="AC258" s="137"/>
      <c r="AD258" s="137"/>
      <c r="AE258" s="137"/>
      <c r="AF258" s="137"/>
      <c r="AG258" s="145">
        <v>92.289999999999992</v>
      </c>
      <c r="AH258" s="137"/>
      <c r="AI258" s="137"/>
      <c r="AJ258" s="137">
        <v>106.9</v>
      </c>
      <c r="AK258" s="137"/>
      <c r="AL258" s="138"/>
    </row>
    <row r="259" spans="1:38" x14ac:dyDescent="0.35">
      <c r="A259" s="130">
        <v>40087</v>
      </c>
      <c r="B259" s="135">
        <v>459.37</v>
      </c>
      <c r="C259" s="178"/>
      <c r="D259" s="135">
        <v>209.35</v>
      </c>
      <c r="E259" s="132">
        <v>217.22</v>
      </c>
      <c r="F259" s="132">
        <v>268.33000000000004</v>
      </c>
      <c r="G259" s="126">
        <v>156.52000000000001</v>
      </c>
      <c r="H259" s="127">
        <v>155.59</v>
      </c>
      <c r="I259" s="132">
        <v>212.52</v>
      </c>
      <c r="J259" s="127">
        <v>222.38</v>
      </c>
      <c r="K259" s="127">
        <v>231.17000000000002</v>
      </c>
      <c r="L259" s="132">
        <v>211.78</v>
      </c>
      <c r="M259" s="127">
        <v>110.09</v>
      </c>
      <c r="N259" s="135">
        <v>140.86000000000001</v>
      </c>
      <c r="O259" s="126">
        <v>122.98000000000002</v>
      </c>
      <c r="P259" s="170">
        <v>152.6</v>
      </c>
      <c r="Q259" s="128">
        <v>128.59999999999997</v>
      </c>
      <c r="R259" s="170">
        <v>179.3</v>
      </c>
      <c r="S259" s="166">
        <v>428.46999999999997</v>
      </c>
      <c r="T259" s="136">
        <v>230.88000000000002</v>
      </c>
      <c r="U259" s="136">
        <v>337.03</v>
      </c>
      <c r="V259" s="136">
        <v>358.35</v>
      </c>
      <c r="W259" s="145">
        <v>478.1</v>
      </c>
      <c r="X259" s="145">
        <v>623.29999999999995</v>
      </c>
      <c r="Y259" s="175">
        <v>656.62</v>
      </c>
      <c r="Z259" s="137"/>
      <c r="AA259" s="137"/>
      <c r="AB259" s="137"/>
      <c r="AC259" s="137"/>
      <c r="AD259" s="137"/>
      <c r="AE259" s="137"/>
      <c r="AF259" s="137"/>
      <c r="AG259" s="145">
        <v>92.210000000000008</v>
      </c>
      <c r="AH259" s="137"/>
      <c r="AI259" s="137"/>
      <c r="AJ259" s="137">
        <v>106.85</v>
      </c>
      <c r="AK259" s="137"/>
      <c r="AL259" s="138"/>
    </row>
    <row r="260" spans="1:38" x14ac:dyDescent="0.35">
      <c r="A260" s="130">
        <v>40118</v>
      </c>
      <c r="B260" s="135">
        <v>459.44</v>
      </c>
      <c r="C260" s="178"/>
      <c r="D260" s="135">
        <v>209.35</v>
      </c>
      <c r="E260" s="132">
        <v>217.22</v>
      </c>
      <c r="F260" s="132">
        <v>267.95</v>
      </c>
      <c r="G260" s="126">
        <v>156.67000000000002</v>
      </c>
      <c r="H260" s="127">
        <v>156.31</v>
      </c>
      <c r="I260" s="132">
        <v>211.88000000000002</v>
      </c>
      <c r="J260" s="127">
        <v>222.49</v>
      </c>
      <c r="K260" s="127">
        <v>231.36</v>
      </c>
      <c r="L260" s="132">
        <v>211.79000000000002</v>
      </c>
      <c r="M260" s="127">
        <v>110.19000000000001</v>
      </c>
      <c r="N260" s="143">
        <v>135.6</v>
      </c>
      <c r="O260" s="126">
        <v>122.88000000000001</v>
      </c>
      <c r="P260" s="170">
        <v>152.6</v>
      </c>
      <c r="Q260" s="128">
        <v>128.34999999999997</v>
      </c>
      <c r="R260" s="170">
        <v>179.3</v>
      </c>
      <c r="S260" s="166">
        <v>427.54999999999995</v>
      </c>
      <c r="T260" s="136">
        <v>230.38000000000002</v>
      </c>
      <c r="U260" s="136">
        <v>337.03</v>
      </c>
      <c r="V260" s="136">
        <v>357.93</v>
      </c>
      <c r="W260" s="145">
        <v>478.1</v>
      </c>
      <c r="X260" s="145">
        <v>623.29999999999995</v>
      </c>
      <c r="Y260" s="175">
        <v>656.62</v>
      </c>
      <c r="Z260" s="137"/>
      <c r="AA260" s="137"/>
      <c r="AB260" s="137"/>
      <c r="AC260" s="137"/>
      <c r="AD260" s="137"/>
      <c r="AE260" s="137"/>
      <c r="AF260" s="137"/>
      <c r="AG260" s="145">
        <v>92.13</v>
      </c>
      <c r="AH260" s="137"/>
      <c r="AI260" s="137"/>
      <c r="AJ260" s="137">
        <v>106.85</v>
      </c>
      <c r="AK260" s="137"/>
      <c r="AL260" s="138"/>
    </row>
    <row r="261" spans="1:38" x14ac:dyDescent="0.35">
      <c r="A261" s="130">
        <v>40148</v>
      </c>
      <c r="B261" s="135">
        <v>459.40999999999997</v>
      </c>
      <c r="C261" s="178"/>
      <c r="D261" s="135">
        <v>209.32999999999998</v>
      </c>
      <c r="E261" s="132">
        <v>217.29999999999998</v>
      </c>
      <c r="F261" s="132">
        <v>268.66000000000003</v>
      </c>
      <c r="G261" s="126">
        <v>158.83000000000001</v>
      </c>
      <c r="H261" s="127">
        <v>156.29000000000002</v>
      </c>
      <c r="I261" s="132">
        <v>212.68</v>
      </c>
      <c r="J261" s="127">
        <v>222.60000000000002</v>
      </c>
      <c r="K261" s="127">
        <v>231.41</v>
      </c>
      <c r="L261" s="132">
        <v>211.86</v>
      </c>
      <c r="M261" s="127">
        <v>110.03</v>
      </c>
      <c r="N261" s="135">
        <v>144.42000000000002</v>
      </c>
      <c r="O261" s="126">
        <v>123.87</v>
      </c>
      <c r="P261" s="170">
        <v>152.6</v>
      </c>
      <c r="Q261" s="128">
        <v>128.29</v>
      </c>
      <c r="R261" s="170">
        <v>179.3</v>
      </c>
      <c r="S261" s="166">
        <v>431.09</v>
      </c>
      <c r="T261" s="136">
        <v>230.13000000000002</v>
      </c>
      <c r="U261" s="136">
        <v>337.03999999999996</v>
      </c>
      <c r="V261" s="136">
        <v>358.76</v>
      </c>
      <c r="W261" s="145">
        <v>478.1</v>
      </c>
      <c r="X261" s="145">
        <v>623.29999999999995</v>
      </c>
      <c r="Y261" s="175">
        <v>656.62</v>
      </c>
      <c r="Z261" s="137"/>
      <c r="AA261" s="137"/>
      <c r="AB261" s="137"/>
      <c r="AC261" s="137"/>
      <c r="AD261" s="137"/>
      <c r="AE261" s="137"/>
      <c r="AF261" s="137"/>
      <c r="AG261" s="145">
        <v>92.07</v>
      </c>
      <c r="AH261" s="137"/>
      <c r="AI261" s="137"/>
      <c r="AJ261" s="137">
        <v>106.85</v>
      </c>
      <c r="AK261" s="137"/>
      <c r="AL261" s="138"/>
    </row>
    <row r="262" spans="1:38" x14ac:dyDescent="0.35">
      <c r="A262" s="130">
        <v>40179</v>
      </c>
      <c r="B262" s="135">
        <v>459.57</v>
      </c>
      <c r="C262" s="178"/>
      <c r="D262" s="135">
        <v>209.78</v>
      </c>
      <c r="E262" s="132">
        <v>217.94</v>
      </c>
      <c r="F262" s="132">
        <v>269.56</v>
      </c>
      <c r="G262" s="126">
        <v>161.43</v>
      </c>
      <c r="H262" s="127">
        <v>157.31</v>
      </c>
      <c r="I262" s="132">
        <v>212.62</v>
      </c>
      <c r="J262" s="127">
        <v>222.98000000000002</v>
      </c>
      <c r="K262" s="127">
        <v>234.28</v>
      </c>
      <c r="L262" s="132">
        <v>212.36</v>
      </c>
      <c r="M262" s="127">
        <v>110.29000000000002</v>
      </c>
      <c r="N262" s="135">
        <v>144.82</v>
      </c>
      <c r="O262" s="126">
        <v>124.20000000000002</v>
      </c>
      <c r="P262" s="170">
        <v>152.6</v>
      </c>
      <c r="Q262" s="128">
        <v>129.48999999999998</v>
      </c>
      <c r="R262" s="170">
        <v>179.3</v>
      </c>
      <c r="S262" s="166">
        <v>452.35999999999996</v>
      </c>
      <c r="T262" s="136">
        <v>229.98000000000002</v>
      </c>
      <c r="U262" s="136">
        <v>338.07</v>
      </c>
      <c r="V262" s="136">
        <v>357.99</v>
      </c>
      <c r="W262" s="145">
        <v>478.1</v>
      </c>
      <c r="X262" s="145">
        <v>623.29999999999995</v>
      </c>
      <c r="Y262" s="175">
        <v>656.62</v>
      </c>
      <c r="Z262" s="137"/>
      <c r="AA262" s="137"/>
      <c r="AB262" s="137"/>
      <c r="AC262" s="137"/>
      <c r="AD262" s="137"/>
      <c r="AE262" s="137"/>
      <c r="AF262" s="137"/>
      <c r="AG262" s="145">
        <v>91.990000000000009</v>
      </c>
      <c r="AH262" s="137"/>
      <c r="AI262" s="137"/>
      <c r="AJ262" s="137">
        <v>107.06</v>
      </c>
      <c r="AK262" s="137"/>
      <c r="AL262" s="138"/>
    </row>
    <row r="263" spans="1:38" x14ac:dyDescent="0.35">
      <c r="A263" s="130">
        <v>40210</v>
      </c>
      <c r="B263" s="135">
        <v>459.77</v>
      </c>
      <c r="C263" s="178"/>
      <c r="D263" s="135">
        <v>210.32</v>
      </c>
      <c r="E263" s="132">
        <v>218.89999999999998</v>
      </c>
      <c r="F263" s="132">
        <v>270.5</v>
      </c>
      <c r="G263" s="126">
        <v>163.15</v>
      </c>
      <c r="H263" s="127">
        <v>158.82</v>
      </c>
      <c r="I263" s="132">
        <v>212.52</v>
      </c>
      <c r="J263" s="127">
        <v>223.84</v>
      </c>
      <c r="K263" s="127">
        <v>237.63</v>
      </c>
      <c r="L263" s="132">
        <v>212.94</v>
      </c>
      <c r="M263" s="127">
        <v>110.55000000000001</v>
      </c>
      <c r="N263" s="135">
        <v>142.22</v>
      </c>
      <c r="O263" s="126">
        <v>125.95000000000002</v>
      </c>
      <c r="P263" s="170">
        <v>152.6</v>
      </c>
      <c r="Q263" s="128">
        <v>131.54999999999998</v>
      </c>
      <c r="R263" s="170">
        <v>179.3</v>
      </c>
      <c r="S263" s="166">
        <v>461.2</v>
      </c>
      <c r="T263" s="136">
        <v>230.15000000000003</v>
      </c>
      <c r="U263" s="136">
        <v>337.82</v>
      </c>
      <c r="V263" s="136">
        <v>358.21000000000004</v>
      </c>
      <c r="W263" s="145">
        <v>478.1</v>
      </c>
      <c r="X263" s="145">
        <v>623.29999999999995</v>
      </c>
      <c r="Y263" s="175">
        <v>656.62</v>
      </c>
      <c r="Z263" s="137"/>
      <c r="AA263" s="137"/>
      <c r="AB263" s="137"/>
      <c r="AC263" s="137"/>
      <c r="AD263" s="137"/>
      <c r="AE263" s="137"/>
      <c r="AF263" s="137"/>
      <c r="AG263" s="145">
        <v>91.97999999999999</v>
      </c>
      <c r="AH263" s="137"/>
      <c r="AI263" s="137"/>
      <c r="AJ263" s="137">
        <v>107.32</v>
      </c>
      <c r="AK263" s="137"/>
      <c r="AL263" s="138"/>
    </row>
    <row r="264" spans="1:38" x14ac:dyDescent="0.35">
      <c r="A264" s="130">
        <v>40238</v>
      </c>
      <c r="B264" s="135">
        <v>459.88</v>
      </c>
      <c r="C264" s="178"/>
      <c r="D264" s="135">
        <v>210.54999999999998</v>
      </c>
      <c r="E264" s="132">
        <v>219.10999999999999</v>
      </c>
      <c r="F264" s="132">
        <v>270.23</v>
      </c>
      <c r="G264" s="126">
        <v>158.97000000000003</v>
      </c>
      <c r="H264" s="127">
        <v>157.87</v>
      </c>
      <c r="I264" s="132">
        <v>204.33</v>
      </c>
      <c r="J264" s="127">
        <v>223.86</v>
      </c>
      <c r="K264" s="127">
        <v>236.36</v>
      </c>
      <c r="L264" s="132">
        <v>212.84</v>
      </c>
      <c r="M264" s="127">
        <v>110.84</v>
      </c>
      <c r="N264" s="143">
        <v>135.6</v>
      </c>
      <c r="O264" s="126">
        <v>125.79</v>
      </c>
      <c r="P264" s="170">
        <v>152.6</v>
      </c>
      <c r="Q264" s="128">
        <v>133.01</v>
      </c>
      <c r="R264" s="170">
        <v>179.3</v>
      </c>
      <c r="S264" s="166">
        <v>460.82</v>
      </c>
      <c r="T264" s="136">
        <v>230.84000000000003</v>
      </c>
      <c r="U264" s="136">
        <v>337.04999999999995</v>
      </c>
      <c r="V264" s="136">
        <v>357.64000000000004</v>
      </c>
      <c r="W264" s="145">
        <v>478.1</v>
      </c>
      <c r="X264" s="145">
        <v>623.29999999999995</v>
      </c>
      <c r="Y264" s="175">
        <v>656.62</v>
      </c>
      <c r="Z264" s="137"/>
      <c r="AA264" s="137"/>
      <c r="AB264" s="137"/>
      <c r="AC264" s="137"/>
      <c r="AD264" s="137"/>
      <c r="AE264" s="137"/>
      <c r="AF264" s="137"/>
      <c r="AG264" s="145">
        <v>91.97</v>
      </c>
      <c r="AH264" s="137"/>
      <c r="AI264" s="137"/>
      <c r="AJ264" s="137">
        <v>107.77000000000001</v>
      </c>
      <c r="AK264" s="137"/>
      <c r="AL264" s="138"/>
    </row>
    <row r="265" spans="1:38" x14ac:dyDescent="0.35">
      <c r="A265" s="130">
        <v>40269</v>
      </c>
      <c r="B265" s="135">
        <v>459.89</v>
      </c>
      <c r="C265" s="178"/>
      <c r="D265" s="135">
        <v>210.42</v>
      </c>
      <c r="E265" s="132">
        <v>219.1</v>
      </c>
      <c r="F265" s="132">
        <v>270.17</v>
      </c>
      <c r="G265" s="126">
        <v>157.69</v>
      </c>
      <c r="H265" s="127">
        <v>157.12</v>
      </c>
      <c r="I265" s="132">
        <v>200.5</v>
      </c>
      <c r="J265" s="127">
        <v>223.76000000000002</v>
      </c>
      <c r="K265" s="127">
        <v>235.94</v>
      </c>
      <c r="L265" s="132">
        <v>212.74</v>
      </c>
      <c r="M265" s="127">
        <v>110.75000000000001</v>
      </c>
      <c r="N265" s="143">
        <v>135.6</v>
      </c>
      <c r="O265" s="126">
        <v>125.10000000000001</v>
      </c>
      <c r="P265" s="170">
        <v>152.6</v>
      </c>
      <c r="Q265" s="128">
        <v>133.47999999999999</v>
      </c>
      <c r="R265" s="170">
        <v>179.3</v>
      </c>
      <c r="S265" s="166">
        <v>460.07</v>
      </c>
      <c r="T265" s="136">
        <v>231.24</v>
      </c>
      <c r="U265" s="136">
        <v>336.98999999999995</v>
      </c>
      <c r="V265" s="136">
        <v>357.74</v>
      </c>
      <c r="W265" s="145">
        <v>478.1</v>
      </c>
      <c r="X265" s="145">
        <v>623.29999999999995</v>
      </c>
      <c r="Y265" s="175">
        <v>656.62</v>
      </c>
      <c r="Z265" s="137"/>
      <c r="AA265" s="137"/>
      <c r="AB265" s="137"/>
      <c r="AC265" s="137"/>
      <c r="AD265" s="137"/>
      <c r="AE265" s="137"/>
      <c r="AF265" s="137"/>
      <c r="AG265" s="145">
        <v>91.960000000000008</v>
      </c>
      <c r="AH265" s="137"/>
      <c r="AI265" s="137"/>
      <c r="AJ265" s="137">
        <v>108.05</v>
      </c>
      <c r="AK265" s="137"/>
      <c r="AL265" s="138"/>
    </row>
    <row r="266" spans="1:38" x14ac:dyDescent="0.35">
      <c r="A266" s="130">
        <v>40299</v>
      </c>
      <c r="B266" s="135">
        <v>459.96</v>
      </c>
      <c r="C266" s="178"/>
      <c r="D266" s="135">
        <v>210.16</v>
      </c>
      <c r="E266" s="132">
        <v>218.82</v>
      </c>
      <c r="F266" s="132">
        <v>269.97000000000003</v>
      </c>
      <c r="G266" s="126">
        <v>156.44</v>
      </c>
      <c r="H266" s="127">
        <v>156.32</v>
      </c>
      <c r="I266" s="132">
        <v>200.5</v>
      </c>
      <c r="J266" s="127">
        <v>223.33</v>
      </c>
      <c r="K266" s="127">
        <v>236.81</v>
      </c>
      <c r="L266" s="132">
        <v>212.43</v>
      </c>
      <c r="M266" s="127">
        <v>110.67000000000002</v>
      </c>
      <c r="N266" s="143">
        <v>135.6</v>
      </c>
      <c r="O266" s="126">
        <v>126.43</v>
      </c>
      <c r="P266" s="170">
        <v>152.6</v>
      </c>
      <c r="Q266" s="128">
        <v>134.04</v>
      </c>
      <c r="R266" s="170">
        <v>179.3</v>
      </c>
      <c r="S266" s="166">
        <v>458.84999999999997</v>
      </c>
      <c r="T266" s="136">
        <v>232.28000000000003</v>
      </c>
      <c r="U266" s="136">
        <v>337.08</v>
      </c>
      <c r="V266" s="136">
        <v>357.72</v>
      </c>
      <c r="W266" s="145">
        <v>478.1</v>
      </c>
      <c r="X266" s="145">
        <v>623.29999999999995</v>
      </c>
      <c r="Y266" s="175">
        <v>656.62</v>
      </c>
      <c r="Z266" s="137"/>
      <c r="AA266" s="137"/>
      <c r="AB266" s="137"/>
      <c r="AC266" s="137"/>
      <c r="AD266" s="137"/>
      <c r="AE266" s="137"/>
      <c r="AF266" s="137"/>
      <c r="AG266" s="145">
        <v>91.960000000000008</v>
      </c>
      <c r="AH266" s="137"/>
      <c r="AI266" s="137"/>
      <c r="AJ266" s="137">
        <v>108.08</v>
      </c>
      <c r="AK266" s="137"/>
      <c r="AL266" s="138"/>
    </row>
    <row r="267" spans="1:38" x14ac:dyDescent="0.35">
      <c r="A267" s="130">
        <v>40330</v>
      </c>
      <c r="B267" s="135">
        <v>459.81</v>
      </c>
      <c r="C267" s="178"/>
      <c r="D267" s="135">
        <v>209.95</v>
      </c>
      <c r="E267" s="132">
        <v>218.45999999999998</v>
      </c>
      <c r="F267" s="132">
        <v>269.37</v>
      </c>
      <c r="G267" s="126">
        <v>155.74</v>
      </c>
      <c r="H267" s="127">
        <v>155.97000000000003</v>
      </c>
      <c r="I267" s="132">
        <v>200.5</v>
      </c>
      <c r="J267" s="127">
        <v>222.96</v>
      </c>
      <c r="K267" s="127">
        <v>236.3</v>
      </c>
      <c r="L267" s="132">
        <v>212.17000000000002</v>
      </c>
      <c r="M267" s="127">
        <v>110.30000000000001</v>
      </c>
      <c r="N267" s="143">
        <v>135.6</v>
      </c>
      <c r="O267" s="126">
        <v>126.39000000000001</v>
      </c>
      <c r="P267" s="170">
        <v>152.6</v>
      </c>
      <c r="Q267" s="128">
        <v>134.13</v>
      </c>
      <c r="R267" s="170">
        <v>179.3</v>
      </c>
      <c r="S267" s="166">
        <v>457.74</v>
      </c>
      <c r="T267" s="136">
        <v>233.02</v>
      </c>
      <c r="U267" s="136">
        <v>337.25</v>
      </c>
      <c r="V267" s="136">
        <v>357.72</v>
      </c>
      <c r="W267" s="145">
        <v>478.1</v>
      </c>
      <c r="X267" s="145">
        <v>623.29999999999995</v>
      </c>
      <c r="Y267" s="175">
        <v>656.62</v>
      </c>
      <c r="Z267" s="137"/>
      <c r="AA267" s="137"/>
      <c r="AB267" s="137"/>
      <c r="AC267" s="137"/>
      <c r="AD267" s="137"/>
      <c r="AE267" s="137"/>
      <c r="AF267" s="137"/>
      <c r="AG267" s="145">
        <v>91.89</v>
      </c>
      <c r="AH267" s="137"/>
      <c r="AI267" s="137"/>
      <c r="AJ267" s="137">
        <v>108.53</v>
      </c>
      <c r="AK267" s="137"/>
      <c r="AL267" s="138"/>
    </row>
    <row r="268" spans="1:38" x14ac:dyDescent="0.35">
      <c r="A268" s="130">
        <v>40360</v>
      </c>
      <c r="B268" s="135">
        <v>459.73</v>
      </c>
      <c r="C268" s="178"/>
      <c r="D268" s="135">
        <v>209.81</v>
      </c>
      <c r="E268" s="132">
        <v>218.32</v>
      </c>
      <c r="F268" s="132">
        <v>269.16000000000003</v>
      </c>
      <c r="G268" s="126">
        <v>155.5</v>
      </c>
      <c r="H268" s="127">
        <v>155.80000000000001</v>
      </c>
      <c r="I268" s="132">
        <v>200.5</v>
      </c>
      <c r="J268" s="127">
        <v>222.82</v>
      </c>
      <c r="K268" s="127">
        <v>235.7</v>
      </c>
      <c r="L268" s="132">
        <v>212.07</v>
      </c>
      <c r="M268" s="127">
        <v>110.11000000000001</v>
      </c>
      <c r="N268" s="143">
        <v>135.6</v>
      </c>
      <c r="O268" s="126">
        <v>126.14000000000001</v>
      </c>
      <c r="P268" s="170">
        <v>152.6</v>
      </c>
      <c r="Q268" s="128">
        <v>133.94999999999999</v>
      </c>
      <c r="R268" s="170">
        <v>179.3</v>
      </c>
      <c r="S268" s="166">
        <v>443.79999999999995</v>
      </c>
      <c r="T268" s="136">
        <v>233.09000000000003</v>
      </c>
      <c r="U268" s="136">
        <v>337.19</v>
      </c>
      <c r="V268" s="136">
        <v>357.73</v>
      </c>
      <c r="W268" s="145">
        <v>478.1</v>
      </c>
      <c r="X268" s="145">
        <v>623.29999999999995</v>
      </c>
      <c r="Y268" s="175">
        <v>656.62</v>
      </c>
      <c r="Z268" s="137"/>
      <c r="AA268" s="137"/>
      <c r="AB268" s="137"/>
      <c r="AC268" s="137"/>
      <c r="AD268" s="137"/>
      <c r="AE268" s="137"/>
      <c r="AF268" s="137"/>
      <c r="AG268" s="145">
        <v>91.93</v>
      </c>
      <c r="AH268" s="137"/>
      <c r="AI268" s="137"/>
      <c r="AJ268" s="137">
        <v>108.50999999999999</v>
      </c>
      <c r="AK268" s="137"/>
      <c r="AL268" s="138"/>
    </row>
    <row r="269" spans="1:38" x14ac:dyDescent="0.35">
      <c r="A269" s="130">
        <v>40391</v>
      </c>
      <c r="B269" s="135">
        <v>459.73</v>
      </c>
      <c r="C269" s="178"/>
      <c r="D269" s="135">
        <v>209.94</v>
      </c>
      <c r="E269" s="132">
        <v>218.39</v>
      </c>
      <c r="F269" s="132">
        <v>268.85000000000002</v>
      </c>
      <c r="G269" s="126">
        <v>155.36000000000001</v>
      </c>
      <c r="H269" s="127">
        <v>155.72000000000003</v>
      </c>
      <c r="I269" s="132">
        <v>200.5</v>
      </c>
      <c r="J269" s="127">
        <v>222.77</v>
      </c>
      <c r="K269" s="127">
        <v>236.32</v>
      </c>
      <c r="L269" s="132">
        <v>212.01000000000002</v>
      </c>
      <c r="M269" s="127">
        <v>109.92000000000002</v>
      </c>
      <c r="N269" s="143">
        <v>135.6</v>
      </c>
      <c r="O269" s="126">
        <v>125.93</v>
      </c>
      <c r="P269" s="170">
        <v>152.6</v>
      </c>
      <c r="Q269" s="128">
        <v>133.71999999999997</v>
      </c>
      <c r="R269" s="170">
        <v>179.3</v>
      </c>
      <c r="S269" s="166">
        <v>442.79999999999995</v>
      </c>
      <c r="T269" s="136">
        <v>233.54000000000002</v>
      </c>
      <c r="U269" s="136">
        <v>337.28999999999996</v>
      </c>
      <c r="V269" s="136">
        <v>357.8</v>
      </c>
      <c r="W269" s="145">
        <v>478.1</v>
      </c>
      <c r="X269" s="145">
        <v>623.29999999999995</v>
      </c>
      <c r="Y269" s="175">
        <v>656.62</v>
      </c>
      <c r="Z269" s="137"/>
      <c r="AA269" s="137"/>
      <c r="AB269" s="137"/>
      <c r="AC269" s="137"/>
      <c r="AD269" s="137"/>
      <c r="AE269" s="137"/>
      <c r="AF269" s="137"/>
      <c r="AG269" s="145">
        <v>91.78</v>
      </c>
      <c r="AH269" s="137"/>
      <c r="AI269" s="137"/>
      <c r="AJ269" s="137">
        <v>108.46000000000001</v>
      </c>
      <c r="AK269" s="137"/>
      <c r="AL269" s="138"/>
    </row>
    <row r="270" spans="1:38" x14ac:dyDescent="0.35">
      <c r="A270" s="130">
        <v>40422</v>
      </c>
      <c r="B270" s="135">
        <v>459.65999999999997</v>
      </c>
      <c r="C270" s="178"/>
      <c r="D270" s="135">
        <v>209.93</v>
      </c>
      <c r="E270" s="132">
        <v>218.43</v>
      </c>
      <c r="F270" s="132">
        <v>268.46000000000004</v>
      </c>
      <c r="G270" s="126">
        <v>155.33000000000001</v>
      </c>
      <c r="H270" s="127">
        <v>155.65</v>
      </c>
      <c r="I270" s="132">
        <v>200.5</v>
      </c>
      <c r="J270" s="127">
        <v>222.71</v>
      </c>
      <c r="K270" s="127">
        <v>236.9</v>
      </c>
      <c r="L270" s="132">
        <v>211.98000000000002</v>
      </c>
      <c r="M270" s="127">
        <v>109.80000000000001</v>
      </c>
      <c r="N270" s="143">
        <v>135.6</v>
      </c>
      <c r="O270" s="126">
        <v>125.64000000000001</v>
      </c>
      <c r="P270" s="170">
        <v>152.6</v>
      </c>
      <c r="Q270" s="128">
        <v>133.33999999999997</v>
      </c>
      <c r="R270" s="170">
        <v>179.3</v>
      </c>
      <c r="S270" s="166">
        <v>442.07</v>
      </c>
      <c r="T270" s="136">
        <v>233.67000000000002</v>
      </c>
      <c r="U270" s="136">
        <v>337.33</v>
      </c>
      <c r="V270" s="136">
        <v>358.18</v>
      </c>
      <c r="W270" s="145">
        <v>478.1</v>
      </c>
      <c r="X270" s="145">
        <v>623.29999999999995</v>
      </c>
      <c r="Y270" s="175">
        <v>656.62</v>
      </c>
      <c r="Z270" s="137"/>
      <c r="AA270" s="137"/>
      <c r="AB270" s="137"/>
      <c r="AC270" s="137"/>
      <c r="AD270" s="137"/>
      <c r="AE270" s="137"/>
      <c r="AF270" s="137"/>
      <c r="AG270" s="145">
        <v>91.7</v>
      </c>
      <c r="AH270" s="137"/>
      <c r="AI270" s="137"/>
      <c r="AJ270" s="137">
        <v>108.33</v>
      </c>
      <c r="AK270" s="137"/>
      <c r="AL270" s="138"/>
    </row>
    <row r="271" spans="1:38" x14ac:dyDescent="0.35">
      <c r="A271" s="130">
        <v>40452</v>
      </c>
      <c r="B271" s="135">
        <v>459.6</v>
      </c>
      <c r="C271" s="178"/>
      <c r="D271" s="135">
        <v>209.98999999999998</v>
      </c>
      <c r="E271" s="132">
        <v>218.72</v>
      </c>
      <c r="F271" s="132">
        <v>268.82</v>
      </c>
      <c r="G271" s="126">
        <v>155.85000000000002</v>
      </c>
      <c r="H271" s="127">
        <v>155.71</v>
      </c>
      <c r="I271" s="132">
        <v>210.54000000000002</v>
      </c>
      <c r="J271" s="127">
        <v>222.63</v>
      </c>
      <c r="K271" s="127">
        <v>236.73000000000002</v>
      </c>
      <c r="L271" s="132">
        <v>211.99</v>
      </c>
      <c r="M271" s="127">
        <v>109.63000000000001</v>
      </c>
      <c r="N271" s="143">
        <v>135.6</v>
      </c>
      <c r="O271" s="126">
        <v>125.22</v>
      </c>
      <c r="P271" s="170">
        <v>152.6</v>
      </c>
      <c r="Q271" s="128">
        <v>132.90999999999997</v>
      </c>
      <c r="R271" s="170">
        <v>179.3</v>
      </c>
      <c r="S271" s="166">
        <v>441.59999999999997</v>
      </c>
      <c r="T271" s="136">
        <v>232.87</v>
      </c>
      <c r="U271" s="136">
        <v>337.36999999999995</v>
      </c>
      <c r="V271" s="136">
        <v>358.41</v>
      </c>
      <c r="W271" s="145">
        <v>478.1</v>
      </c>
      <c r="X271" s="145">
        <v>623.29999999999995</v>
      </c>
      <c r="Y271" s="175">
        <v>656.62</v>
      </c>
      <c r="Z271" s="137"/>
      <c r="AA271" s="137"/>
      <c r="AB271" s="137"/>
      <c r="AC271" s="137"/>
      <c r="AD271" s="137"/>
      <c r="AE271" s="137"/>
      <c r="AF271" s="137"/>
      <c r="AG271" s="145">
        <v>91.62</v>
      </c>
      <c r="AH271" s="137"/>
      <c r="AI271" s="137"/>
      <c r="AJ271" s="137">
        <v>108.2</v>
      </c>
      <c r="AK271" s="137"/>
      <c r="AL271" s="138"/>
    </row>
    <row r="272" spans="1:38" x14ac:dyDescent="0.35">
      <c r="A272" s="130">
        <v>40483</v>
      </c>
      <c r="B272" s="135">
        <v>459.65</v>
      </c>
      <c r="C272" s="178"/>
      <c r="D272" s="135">
        <v>210.29999999999998</v>
      </c>
      <c r="E272" s="132">
        <v>218.79999999999998</v>
      </c>
      <c r="F272" s="132">
        <v>268.42</v>
      </c>
      <c r="G272" s="126">
        <v>155.30000000000001</v>
      </c>
      <c r="H272" s="127">
        <v>155.61000000000001</v>
      </c>
      <c r="I272" s="132">
        <v>211.70000000000002</v>
      </c>
      <c r="J272" s="127">
        <v>222.60000000000002</v>
      </c>
      <c r="K272" s="127">
        <v>235.77</v>
      </c>
      <c r="L272" s="132">
        <v>211.95000000000002</v>
      </c>
      <c r="M272" s="127">
        <v>109.67000000000002</v>
      </c>
      <c r="N272" s="143">
        <v>135.6</v>
      </c>
      <c r="O272" s="126">
        <v>124.99000000000001</v>
      </c>
      <c r="P272" s="170">
        <v>152.6</v>
      </c>
      <c r="Q272" s="128">
        <v>132.71999999999997</v>
      </c>
      <c r="R272" s="170">
        <v>179.3</v>
      </c>
      <c r="S272" s="166">
        <v>440.93</v>
      </c>
      <c r="T272" s="136">
        <v>234.23000000000002</v>
      </c>
      <c r="U272" s="136">
        <v>337.36999999999995</v>
      </c>
      <c r="V272" s="136">
        <v>357.52000000000004</v>
      </c>
      <c r="W272" s="145">
        <v>478.1</v>
      </c>
      <c r="X272" s="145">
        <v>623.29999999999995</v>
      </c>
      <c r="Y272" s="175">
        <v>656.62</v>
      </c>
      <c r="Z272" s="137"/>
      <c r="AA272" s="137"/>
      <c r="AB272" s="137"/>
      <c r="AC272" s="137"/>
      <c r="AD272" s="137"/>
      <c r="AE272" s="137"/>
      <c r="AF272" s="137"/>
      <c r="AG272" s="145">
        <v>91.55</v>
      </c>
      <c r="AH272" s="137"/>
      <c r="AI272" s="137"/>
      <c r="AJ272" s="137">
        <v>108.19</v>
      </c>
      <c r="AK272" s="137"/>
      <c r="AL272" s="138"/>
    </row>
    <row r="273" spans="1:38" x14ac:dyDescent="0.35">
      <c r="A273" s="130">
        <v>40513</v>
      </c>
      <c r="B273" s="135">
        <v>459.69</v>
      </c>
      <c r="C273" s="178"/>
      <c r="D273" s="135">
        <v>210.79</v>
      </c>
      <c r="E273" s="132">
        <v>219.62</v>
      </c>
      <c r="F273" s="132">
        <v>270.94</v>
      </c>
      <c r="G273" s="126">
        <v>163.30000000000001</v>
      </c>
      <c r="H273" s="127">
        <v>158.30000000000001</v>
      </c>
      <c r="I273" s="132">
        <v>213.3</v>
      </c>
      <c r="J273" s="127">
        <v>224.49</v>
      </c>
      <c r="K273" s="127">
        <v>242.54</v>
      </c>
      <c r="L273" s="132">
        <v>213.95000000000002</v>
      </c>
      <c r="M273" s="127">
        <v>110.59</v>
      </c>
      <c r="N273" s="135">
        <v>154.44</v>
      </c>
      <c r="O273" s="126">
        <v>125.57000000000001</v>
      </c>
      <c r="P273" s="132">
        <v>156.56</v>
      </c>
      <c r="Q273" s="128">
        <v>139.08999999999997</v>
      </c>
      <c r="R273" s="170">
        <v>179.3</v>
      </c>
      <c r="S273" s="166">
        <v>458.75</v>
      </c>
      <c r="T273" s="136">
        <v>234.47000000000003</v>
      </c>
      <c r="U273" s="136">
        <v>338.60999999999996</v>
      </c>
      <c r="V273" s="136">
        <v>358.99</v>
      </c>
      <c r="W273" s="145">
        <v>478.1</v>
      </c>
      <c r="X273" s="145">
        <v>623.29999999999995</v>
      </c>
      <c r="Y273" s="175">
        <v>656.62</v>
      </c>
      <c r="Z273" s="137"/>
      <c r="AA273" s="137"/>
      <c r="AB273" s="137"/>
      <c r="AC273" s="137"/>
      <c r="AD273" s="137"/>
      <c r="AE273" s="137"/>
      <c r="AF273" s="137"/>
      <c r="AG273" s="145">
        <v>91.53</v>
      </c>
      <c r="AH273" s="137"/>
      <c r="AI273" s="137"/>
      <c r="AJ273" s="137">
        <v>108.39</v>
      </c>
      <c r="AK273" s="137"/>
      <c r="AL273" s="138"/>
    </row>
    <row r="274" spans="1:38" x14ac:dyDescent="0.35">
      <c r="A274" s="130">
        <v>40544</v>
      </c>
      <c r="B274" s="135">
        <v>460</v>
      </c>
      <c r="C274" s="178"/>
      <c r="D274" s="135">
        <v>211.20999999999998</v>
      </c>
      <c r="E274" s="132">
        <v>219.91</v>
      </c>
      <c r="F274" s="132">
        <v>270.67</v>
      </c>
      <c r="G274" s="126">
        <v>161.79000000000002</v>
      </c>
      <c r="H274" s="127">
        <v>159.49</v>
      </c>
      <c r="I274" s="132">
        <v>211.5</v>
      </c>
      <c r="J274" s="127">
        <v>224.98000000000002</v>
      </c>
      <c r="K274" s="127">
        <v>239.45</v>
      </c>
      <c r="L274" s="132">
        <v>213.51000000000002</v>
      </c>
      <c r="M274" s="127">
        <v>112.23000000000002</v>
      </c>
      <c r="N274" s="143">
        <v>135.6</v>
      </c>
      <c r="O274" s="126">
        <v>126.94000000000001</v>
      </c>
      <c r="P274" s="170">
        <v>152.6</v>
      </c>
      <c r="Q274" s="128">
        <v>138.21999999999997</v>
      </c>
      <c r="R274" s="170">
        <v>179.3</v>
      </c>
      <c r="S274" s="166">
        <v>460.84</v>
      </c>
      <c r="T274" s="136">
        <v>234.17000000000002</v>
      </c>
      <c r="U274" s="136">
        <v>338.08</v>
      </c>
      <c r="V274" s="136">
        <v>357.94</v>
      </c>
      <c r="W274" s="145">
        <v>478.1</v>
      </c>
      <c r="X274" s="145">
        <v>623.29999999999995</v>
      </c>
      <c r="Y274" s="175">
        <v>656.62</v>
      </c>
      <c r="Z274" s="137"/>
      <c r="AA274" s="137"/>
      <c r="AB274" s="137"/>
      <c r="AC274" s="137"/>
      <c r="AD274" s="137"/>
      <c r="AE274" s="137"/>
      <c r="AF274" s="137"/>
      <c r="AG274" s="145">
        <v>91.57</v>
      </c>
      <c r="AH274" s="137"/>
      <c r="AI274" s="137"/>
      <c r="AJ274" s="137">
        <v>109.12</v>
      </c>
      <c r="AK274" s="137"/>
      <c r="AL274" s="138"/>
    </row>
    <row r="275" spans="1:38" x14ac:dyDescent="0.35">
      <c r="A275" s="130">
        <v>40575</v>
      </c>
      <c r="B275" s="135">
        <v>460.07</v>
      </c>
      <c r="C275" s="178"/>
      <c r="D275" s="135">
        <v>210.97</v>
      </c>
      <c r="E275" s="132">
        <v>219.49</v>
      </c>
      <c r="F275" s="132">
        <v>270.91000000000003</v>
      </c>
      <c r="G275" s="126">
        <v>158.51000000000002</v>
      </c>
      <c r="H275" s="127">
        <v>157.52000000000001</v>
      </c>
      <c r="I275" s="132">
        <v>212.47</v>
      </c>
      <c r="J275" s="127">
        <v>224.26000000000002</v>
      </c>
      <c r="K275" s="127">
        <v>237.69</v>
      </c>
      <c r="L275" s="132">
        <v>212.9</v>
      </c>
      <c r="M275" s="127">
        <v>112.11000000000001</v>
      </c>
      <c r="N275" s="143">
        <v>135.6</v>
      </c>
      <c r="O275" s="126">
        <v>127.77000000000001</v>
      </c>
      <c r="P275" s="170">
        <v>152.6</v>
      </c>
      <c r="Q275" s="128">
        <v>139.02999999999997</v>
      </c>
      <c r="R275" s="170">
        <v>179.3</v>
      </c>
      <c r="S275" s="166">
        <v>459.75</v>
      </c>
      <c r="T275" s="136">
        <v>233.83</v>
      </c>
      <c r="U275" s="136">
        <v>337.89</v>
      </c>
      <c r="V275" s="136">
        <v>359.02000000000004</v>
      </c>
      <c r="W275" s="145">
        <v>478.1</v>
      </c>
      <c r="X275" s="145">
        <v>623.29999999999995</v>
      </c>
      <c r="Y275" s="175">
        <v>656.62</v>
      </c>
      <c r="Z275" s="137"/>
      <c r="AA275" s="137"/>
      <c r="AB275" s="137"/>
      <c r="AC275" s="137"/>
      <c r="AD275" s="137"/>
      <c r="AE275" s="137"/>
      <c r="AF275" s="137"/>
      <c r="AG275" s="145">
        <v>91.740000000000009</v>
      </c>
      <c r="AH275" s="137"/>
      <c r="AI275" s="137"/>
      <c r="AJ275" s="137">
        <v>109.75999999999999</v>
      </c>
      <c r="AK275" s="137"/>
      <c r="AL275" s="138"/>
    </row>
    <row r="276" spans="1:38" x14ac:dyDescent="0.35">
      <c r="A276" s="130">
        <v>40603</v>
      </c>
      <c r="B276" s="135">
        <v>460.08</v>
      </c>
      <c r="C276" s="178"/>
      <c r="D276" s="135">
        <v>210.84</v>
      </c>
      <c r="E276" s="132">
        <v>219.45</v>
      </c>
      <c r="F276" s="132">
        <v>271.04000000000002</v>
      </c>
      <c r="G276" s="126">
        <v>159.64000000000001</v>
      </c>
      <c r="H276" s="127">
        <v>158.07</v>
      </c>
      <c r="I276" s="132">
        <v>211.41000000000003</v>
      </c>
      <c r="J276" s="127">
        <v>223.94</v>
      </c>
      <c r="K276" s="127">
        <v>237.41</v>
      </c>
      <c r="L276" s="132">
        <v>212.76000000000002</v>
      </c>
      <c r="M276" s="127">
        <v>111.78</v>
      </c>
      <c r="N276" s="143">
        <v>135.6</v>
      </c>
      <c r="O276" s="126">
        <v>128.14000000000001</v>
      </c>
      <c r="P276" s="170">
        <v>152.6</v>
      </c>
      <c r="Q276" s="128">
        <v>139.46999999999997</v>
      </c>
      <c r="R276" s="170">
        <v>179.3</v>
      </c>
      <c r="S276" s="166">
        <v>459.37</v>
      </c>
      <c r="T276" s="136">
        <v>233.86</v>
      </c>
      <c r="U276" s="136">
        <v>338.53</v>
      </c>
      <c r="V276" s="136">
        <v>357.51</v>
      </c>
      <c r="W276" s="145">
        <v>478.1</v>
      </c>
      <c r="X276" s="145">
        <v>623.29999999999995</v>
      </c>
      <c r="Y276" s="175">
        <v>656.62</v>
      </c>
      <c r="Z276" s="137"/>
      <c r="AA276" s="137"/>
      <c r="AB276" s="137"/>
      <c r="AC276" s="137"/>
      <c r="AD276" s="137"/>
      <c r="AE276" s="137"/>
      <c r="AF276" s="137"/>
      <c r="AG276" s="145">
        <v>91.84</v>
      </c>
      <c r="AH276" s="137"/>
      <c r="AI276" s="137"/>
      <c r="AJ276" s="137">
        <v>110.06</v>
      </c>
      <c r="AK276" s="137"/>
      <c r="AL276" s="138"/>
    </row>
    <row r="277" spans="1:38" x14ac:dyDescent="0.35">
      <c r="A277" s="130">
        <v>40634</v>
      </c>
      <c r="B277" s="135">
        <v>460.19</v>
      </c>
      <c r="C277" s="178"/>
      <c r="D277" s="135">
        <v>211.18</v>
      </c>
      <c r="E277" s="132">
        <v>219.97</v>
      </c>
      <c r="F277" s="132">
        <v>271.29000000000002</v>
      </c>
      <c r="G277" s="126">
        <v>160.84</v>
      </c>
      <c r="H277" s="127">
        <v>159.13</v>
      </c>
      <c r="I277" s="132">
        <v>208.60000000000002</v>
      </c>
      <c r="J277" s="127">
        <v>224.83</v>
      </c>
      <c r="K277" s="127">
        <v>239.87</v>
      </c>
      <c r="L277" s="132">
        <v>213.35000000000002</v>
      </c>
      <c r="M277" s="127">
        <v>112.49000000000001</v>
      </c>
      <c r="N277" s="135">
        <v>137.36000000000001</v>
      </c>
      <c r="O277" s="126">
        <v>128.84</v>
      </c>
      <c r="P277" s="170">
        <v>152.6</v>
      </c>
      <c r="Q277" s="128">
        <v>141.66999999999999</v>
      </c>
      <c r="R277" s="170">
        <v>179.3</v>
      </c>
      <c r="S277" s="166">
        <v>461.52</v>
      </c>
      <c r="T277" s="136">
        <v>233.93</v>
      </c>
      <c r="U277" s="136">
        <v>338.46999999999997</v>
      </c>
      <c r="V277" s="136">
        <v>357.99</v>
      </c>
      <c r="W277" s="145">
        <v>478.1</v>
      </c>
      <c r="X277" s="145">
        <v>623.29999999999995</v>
      </c>
      <c r="Y277" s="175">
        <v>656.62</v>
      </c>
      <c r="Z277" s="137"/>
      <c r="AA277" s="137"/>
      <c r="AB277" s="137"/>
      <c r="AC277" s="137"/>
      <c r="AD277" s="137"/>
      <c r="AE277" s="137"/>
      <c r="AF277" s="137"/>
      <c r="AG277" s="145">
        <v>92.039999999999992</v>
      </c>
      <c r="AH277" s="137"/>
      <c r="AI277" s="137"/>
      <c r="AJ277" s="137">
        <v>110.56</v>
      </c>
      <c r="AK277" s="137"/>
      <c r="AL277" s="138"/>
    </row>
    <row r="278" spans="1:38" x14ac:dyDescent="0.35">
      <c r="A278" s="130">
        <v>40664</v>
      </c>
      <c r="B278" s="135">
        <v>460.1</v>
      </c>
      <c r="C278" s="178"/>
      <c r="D278" s="135">
        <v>210.88</v>
      </c>
      <c r="E278" s="132">
        <v>219.44</v>
      </c>
      <c r="F278" s="132">
        <v>270.83000000000004</v>
      </c>
      <c r="G278" s="126">
        <v>157.58000000000001</v>
      </c>
      <c r="H278" s="127">
        <v>157.30000000000001</v>
      </c>
      <c r="I278" s="132">
        <v>200.5</v>
      </c>
      <c r="J278" s="127">
        <v>223.94</v>
      </c>
      <c r="K278" s="127">
        <v>237.32</v>
      </c>
      <c r="L278" s="132">
        <v>212.82</v>
      </c>
      <c r="M278" s="127">
        <v>111.96000000000001</v>
      </c>
      <c r="N278" s="143">
        <v>135.6</v>
      </c>
      <c r="O278" s="126">
        <v>129.4</v>
      </c>
      <c r="P278" s="170">
        <v>152.6</v>
      </c>
      <c r="Q278" s="128">
        <v>142.08999999999997</v>
      </c>
      <c r="R278" s="170">
        <v>179.3</v>
      </c>
      <c r="S278" s="166">
        <v>460.75</v>
      </c>
      <c r="T278" s="136">
        <v>234.63000000000002</v>
      </c>
      <c r="U278" s="136">
        <v>337.64</v>
      </c>
      <c r="V278" s="136">
        <v>357.54</v>
      </c>
      <c r="W278" s="145">
        <v>478.1</v>
      </c>
      <c r="X278" s="145">
        <v>623.29999999999995</v>
      </c>
      <c r="Y278" s="175">
        <v>656.62</v>
      </c>
      <c r="Z278" s="137"/>
      <c r="AA278" s="137"/>
      <c r="AB278" s="137"/>
      <c r="AC278" s="137"/>
      <c r="AD278" s="137"/>
      <c r="AE278" s="137"/>
      <c r="AF278" s="137"/>
      <c r="AG278" s="145">
        <v>92.32</v>
      </c>
      <c r="AH278" s="137"/>
      <c r="AI278" s="137"/>
      <c r="AJ278" s="137">
        <v>111.00999999999999</v>
      </c>
      <c r="AK278" s="137"/>
      <c r="AL278" s="138"/>
    </row>
    <row r="279" spans="1:38" x14ac:dyDescent="0.35">
      <c r="A279" s="130">
        <v>40695</v>
      </c>
      <c r="B279" s="135">
        <v>460.09000000000003</v>
      </c>
      <c r="C279" s="178"/>
      <c r="D279" s="135">
        <v>210.84</v>
      </c>
      <c r="E279" s="132">
        <v>219.32</v>
      </c>
      <c r="F279" s="132">
        <v>270.57</v>
      </c>
      <c r="G279" s="126">
        <v>157.25</v>
      </c>
      <c r="H279" s="127">
        <v>157</v>
      </c>
      <c r="I279" s="132">
        <v>200.5</v>
      </c>
      <c r="J279" s="127">
        <v>223.69</v>
      </c>
      <c r="K279" s="127">
        <v>236.6</v>
      </c>
      <c r="L279" s="132">
        <v>212.63</v>
      </c>
      <c r="M279" s="127">
        <v>111.54000000000002</v>
      </c>
      <c r="N279" s="143">
        <v>135.6</v>
      </c>
      <c r="O279" s="126">
        <v>129.53</v>
      </c>
      <c r="P279" s="170">
        <v>152.6</v>
      </c>
      <c r="Q279" s="128">
        <v>142.16999999999999</v>
      </c>
      <c r="R279" s="170">
        <v>179.3</v>
      </c>
      <c r="S279" s="166">
        <v>460.59</v>
      </c>
      <c r="T279" s="136">
        <v>234.73000000000002</v>
      </c>
      <c r="U279" s="136">
        <v>337.64</v>
      </c>
      <c r="V279" s="136">
        <v>357.6</v>
      </c>
      <c r="W279" s="145">
        <v>478.1</v>
      </c>
      <c r="X279" s="145">
        <v>623.29999999999995</v>
      </c>
      <c r="Y279" s="175">
        <v>656.62</v>
      </c>
      <c r="Z279" s="137"/>
      <c r="AA279" s="137"/>
      <c r="AB279" s="137"/>
      <c r="AC279" s="137"/>
      <c r="AD279" s="137"/>
      <c r="AE279" s="137"/>
      <c r="AF279" s="137"/>
      <c r="AG279" s="145">
        <v>92.460000000000008</v>
      </c>
      <c r="AH279" s="137"/>
      <c r="AI279" s="137"/>
      <c r="AJ279" s="137">
        <v>111.18</v>
      </c>
      <c r="AK279" s="137"/>
      <c r="AL279" s="138"/>
    </row>
    <row r="280" spans="1:38" x14ac:dyDescent="0.35">
      <c r="A280" s="130">
        <v>40725</v>
      </c>
      <c r="B280" s="135">
        <v>460</v>
      </c>
      <c r="C280" s="178"/>
      <c r="D280" s="135">
        <v>210.47</v>
      </c>
      <c r="E280" s="132">
        <v>218.92</v>
      </c>
      <c r="F280" s="132">
        <v>270.16000000000003</v>
      </c>
      <c r="G280" s="126">
        <v>157</v>
      </c>
      <c r="H280" s="127">
        <v>156.74</v>
      </c>
      <c r="I280" s="132">
        <v>200.5</v>
      </c>
      <c r="J280" s="127">
        <v>223.41</v>
      </c>
      <c r="K280" s="127">
        <v>237.02</v>
      </c>
      <c r="L280" s="132">
        <v>212.47</v>
      </c>
      <c r="M280" s="127">
        <v>110.59</v>
      </c>
      <c r="N280" s="143">
        <v>135.6</v>
      </c>
      <c r="O280" s="126">
        <v>129.31</v>
      </c>
      <c r="P280" s="170">
        <v>152.6</v>
      </c>
      <c r="Q280" s="128">
        <v>141.73999999999998</v>
      </c>
      <c r="R280" s="170">
        <v>179.3</v>
      </c>
      <c r="S280" s="166">
        <v>459.2</v>
      </c>
      <c r="T280" s="136">
        <v>234.97000000000003</v>
      </c>
      <c r="U280" s="136">
        <v>337.61999999999995</v>
      </c>
      <c r="V280" s="136">
        <v>359.1</v>
      </c>
      <c r="W280" s="145">
        <v>478.1</v>
      </c>
      <c r="X280" s="145">
        <v>623.29999999999995</v>
      </c>
      <c r="Y280" s="175">
        <v>656.62</v>
      </c>
      <c r="Z280" s="137"/>
      <c r="AA280" s="137"/>
      <c r="AB280" s="137"/>
      <c r="AC280" s="137"/>
      <c r="AD280" s="137"/>
      <c r="AE280" s="137"/>
      <c r="AF280" s="137"/>
      <c r="AG280" s="145">
        <v>92.58</v>
      </c>
      <c r="AH280" s="137"/>
      <c r="AI280" s="137"/>
      <c r="AJ280" s="137">
        <v>111.17</v>
      </c>
      <c r="AK280" s="137"/>
      <c r="AL280" s="138"/>
    </row>
    <row r="281" spans="1:38" x14ac:dyDescent="0.35">
      <c r="A281" s="130">
        <v>40756</v>
      </c>
      <c r="B281" s="135">
        <v>459.96</v>
      </c>
      <c r="C281" s="178"/>
      <c r="D281" s="135">
        <v>210.28</v>
      </c>
      <c r="E281" s="132">
        <v>218.81</v>
      </c>
      <c r="F281" s="132">
        <v>270.01</v>
      </c>
      <c r="G281" s="126">
        <v>157.01000000000002</v>
      </c>
      <c r="H281" s="127">
        <v>156.67000000000002</v>
      </c>
      <c r="I281" s="132">
        <v>200.5</v>
      </c>
      <c r="J281" s="127">
        <v>223.16</v>
      </c>
      <c r="K281" s="127">
        <v>236.35</v>
      </c>
      <c r="L281" s="132">
        <v>212.41</v>
      </c>
      <c r="M281" s="127">
        <v>110.22000000000001</v>
      </c>
      <c r="N281" s="143">
        <v>135.6</v>
      </c>
      <c r="O281" s="126">
        <v>128.99</v>
      </c>
      <c r="P281" s="170">
        <v>152.6</v>
      </c>
      <c r="Q281" s="128">
        <v>141.13999999999999</v>
      </c>
      <c r="R281" s="170">
        <v>179.3</v>
      </c>
      <c r="S281" s="174">
        <v>427</v>
      </c>
      <c r="T281" s="136">
        <v>234.72000000000003</v>
      </c>
      <c r="U281" s="136">
        <v>337.59</v>
      </c>
      <c r="V281" s="136">
        <v>357.58000000000004</v>
      </c>
      <c r="W281" s="145">
        <v>478.1</v>
      </c>
      <c r="X281" s="145">
        <v>623.29999999999995</v>
      </c>
      <c r="Y281" s="175">
        <v>656.62</v>
      </c>
      <c r="Z281" s="137"/>
      <c r="AA281" s="137"/>
      <c r="AB281" s="137"/>
      <c r="AC281" s="137"/>
      <c r="AD281" s="137"/>
      <c r="AE281" s="137"/>
      <c r="AF281" s="137"/>
      <c r="AG281" s="145">
        <v>92.66</v>
      </c>
      <c r="AH281" s="137"/>
      <c r="AI281" s="137"/>
      <c r="AJ281" s="137">
        <v>111.00999999999999</v>
      </c>
      <c r="AK281" s="137"/>
      <c r="AL281" s="138"/>
    </row>
    <row r="282" spans="1:38" x14ac:dyDescent="0.35">
      <c r="A282" s="130">
        <v>40787</v>
      </c>
      <c r="B282" s="135">
        <v>459.87</v>
      </c>
      <c r="C282" s="178"/>
      <c r="D282" s="135">
        <v>210.01999999999998</v>
      </c>
      <c r="E282" s="132">
        <v>218.57</v>
      </c>
      <c r="F282" s="132">
        <v>269.86</v>
      </c>
      <c r="G282" s="126">
        <v>157.05000000000001</v>
      </c>
      <c r="H282" s="127">
        <v>156.70000000000002</v>
      </c>
      <c r="I282" s="132">
        <v>211.42000000000002</v>
      </c>
      <c r="J282" s="127">
        <v>222.98000000000002</v>
      </c>
      <c r="K282" s="127">
        <v>235.46</v>
      </c>
      <c r="L282" s="132">
        <v>212.25</v>
      </c>
      <c r="M282" s="127">
        <v>109.95000000000002</v>
      </c>
      <c r="N282" s="143">
        <v>135.6</v>
      </c>
      <c r="O282" s="126">
        <v>128.34</v>
      </c>
      <c r="P282" s="170">
        <v>152.6</v>
      </c>
      <c r="Q282" s="128">
        <v>140.13999999999999</v>
      </c>
      <c r="R282" s="170">
        <v>179.3</v>
      </c>
      <c r="S282" s="174">
        <v>427</v>
      </c>
      <c r="T282" s="136">
        <v>234.28000000000003</v>
      </c>
      <c r="U282" s="136">
        <v>337.57</v>
      </c>
      <c r="V282" s="136">
        <v>357.53000000000003</v>
      </c>
      <c r="W282" s="145">
        <v>478.1</v>
      </c>
      <c r="X282" s="145">
        <v>623.29999999999995</v>
      </c>
      <c r="Y282" s="175">
        <v>656.62</v>
      </c>
      <c r="Z282" s="137"/>
      <c r="AA282" s="137"/>
      <c r="AB282" s="137"/>
      <c r="AC282" s="137"/>
      <c r="AD282" s="137"/>
      <c r="AE282" s="137"/>
      <c r="AF282" s="137"/>
      <c r="AG282" s="145">
        <v>92.72999999999999</v>
      </c>
      <c r="AH282" s="137"/>
      <c r="AI282" s="137"/>
      <c r="AJ282" s="137">
        <v>110.78</v>
      </c>
      <c r="AK282" s="137"/>
      <c r="AL282" s="138"/>
    </row>
    <row r="283" spans="1:38" x14ac:dyDescent="0.35">
      <c r="A283" s="130">
        <v>40817</v>
      </c>
      <c r="B283" s="135">
        <v>459.86</v>
      </c>
      <c r="C283" s="178"/>
      <c r="D283" s="135">
        <v>209.93</v>
      </c>
      <c r="E283" s="132">
        <v>218.59</v>
      </c>
      <c r="F283" s="132">
        <v>270.13</v>
      </c>
      <c r="G283" s="126">
        <v>157.88</v>
      </c>
      <c r="H283" s="127">
        <v>156.94</v>
      </c>
      <c r="I283" s="132">
        <v>211.37</v>
      </c>
      <c r="J283" s="127">
        <v>222.9</v>
      </c>
      <c r="K283" s="127">
        <v>235.29</v>
      </c>
      <c r="L283" s="132">
        <v>212.35000000000002</v>
      </c>
      <c r="M283" s="127">
        <v>110.93</v>
      </c>
      <c r="N283" s="143">
        <v>135.6</v>
      </c>
      <c r="O283" s="126">
        <v>127.97</v>
      </c>
      <c r="P283" s="170">
        <v>152.6</v>
      </c>
      <c r="Q283" s="128">
        <v>139.44</v>
      </c>
      <c r="R283" s="170">
        <v>179.3</v>
      </c>
      <c r="S283" s="174">
        <v>427</v>
      </c>
      <c r="T283" s="136">
        <v>234.10000000000002</v>
      </c>
      <c r="U283" s="136">
        <v>337.60999999999996</v>
      </c>
      <c r="V283" s="136">
        <v>357.91</v>
      </c>
      <c r="W283" s="145">
        <v>478.1</v>
      </c>
      <c r="X283" s="145">
        <v>623.29999999999995</v>
      </c>
      <c r="Y283" s="175">
        <v>656.62</v>
      </c>
      <c r="Z283" s="137"/>
      <c r="AA283" s="137"/>
      <c r="AB283" s="137"/>
      <c r="AC283" s="137"/>
      <c r="AD283" s="137"/>
      <c r="AE283" s="137"/>
      <c r="AF283" s="137"/>
      <c r="AG283" s="145">
        <v>92.77000000000001</v>
      </c>
      <c r="AH283" s="137"/>
      <c r="AI283" s="137"/>
      <c r="AJ283" s="137">
        <v>110.63</v>
      </c>
      <c r="AK283" s="137"/>
      <c r="AL283" s="138"/>
    </row>
    <row r="284" spans="1:38" x14ac:dyDescent="0.35">
      <c r="A284" s="130">
        <v>40848</v>
      </c>
      <c r="B284" s="135">
        <v>459.86</v>
      </c>
      <c r="C284" s="178"/>
      <c r="D284" s="135">
        <v>209.82</v>
      </c>
      <c r="E284" s="132">
        <v>218.42</v>
      </c>
      <c r="F284" s="132">
        <v>270.16000000000003</v>
      </c>
      <c r="G284" s="126">
        <v>156.38</v>
      </c>
      <c r="H284" s="127">
        <v>156.46</v>
      </c>
      <c r="I284" s="132">
        <v>201.76000000000002</v>
      </c>
      <c r="J284" s="127">
        <v>222.81</v>
      </c>
      <c r="K284" s="127">
        <v>234.81</v>
      </c>
      <c r="L284" s="132">
        <v>212.21</v>
      </c>
      <c r="M284" s="127">
        <v>109.92000000000002</v>
      </c>
      <c r="N284" s="143">
        <v>135.6</v>
      </c>
      <c r="O284" s="126">
        <v>127.71000000000001</v>
      </c>
      <c r="P284" s="170">
        <v>152.6</v>
      </c>
      <c r="Q284" s="128">
        <v>138.89999999999998</v>
      </c>
      <c r="R284" s="170">
        <v>179.3</v>
      </c>
      <c r="S284" s="174">
        <v>427</v>
      </c>
      <c r="T284" s="136">
        <v>233.39000000000001</v>
      </c>
      <c r="U284" s="136">
        <v>337.55999999999995</v>
      </c>
      <c r="V284" s="136">
        <v>357.86</v>
      </c>
      <c r="W284" s="145">
        <v>478.1</v>
      </c>
      <c r="X284" s="145">
        <v>623.29999999999995</v>
      </c>
      <c r="Y284" s="175">
        <v>656.62</v>
      </c>
      <c r="Z284" s="137"/>
      <c r="AA284" s="137"/>
      <c r="AB284" s="137"/>
      <c r="AC284" s="137"/>
      <c r="AD284" s="137"/>
      <c r="AE284" s="137"/>
      <c r="AF284" s="137"/>
      <c r="AG284" s="145">
        <v>92.89</v>
      </c>
      <c r="AH284" s="137"/>
      <c r="AI284" s="137"/>
      <c r="AJ284" s="137">
        <v>110.46000000000001</v>
      </c>
      <c r="AK284" s="137"/>
      <c r="AL284" s="138"/>
    </row>
    <row r="285" spans="1:38" x14ac:dyDescent="0.35">
      <c r="A285" s="130">
        <v>40878</v>
      </c>
      <c r="B285" s="135">
        <v>459.82</v>
      </c>
      <c r="C285" s="178"/>
      <c r="D285" s="135">
        <v>209.75</v>
      </c>
      <c r="E285" s="132">
        <v>218.34</v>
      </c>
      <c r="F285" s="132">
        <v>270.57</v>
      </c>
      <c r="G285" s="126">
        <v>156.28</v>
      </c>
      <c r="H285" s="127">
        <v>157.47000000000003</v>
      </c>
      <c r="I285" s="132">
        <v>213.09</v>
      </c>
      <c r="J285" s="127">
        <v>222.72</v>
      </c>
      <c r="K285" s="127">
        <v>234.53</v>
      </c>
      <c r="L285" s="132">
        <v>212.3</v>
      </c>
      <c r="M285" s="127">
        <v>109.9</v>
      </c>
      <c r="N285" s="135">
        <v>145.5</v>
      </c>
      <c r="O285" s="126">
        <v>127.41000000000001</v>
      </c>
      <c r="P285" s="170">
        <v>152.6</v>
      </c>
      <c r="Q285" s="128">
        <v>138.48999999999998</v>
      </c>
      <c r="R285" s="170">
        <v>179.3</v>
      </c>
      <c r="S285" s="174">
        <v>427</v>
      </c>
      <c r="T285" s="136">
        <v>233.02</v>
      </c>
      <c r="U285" s="136">
        <v>337.48999999999995</v>
      </c>
      <c r="V285" s="136">
        <v>359.48</v>
      </c>
      <c r="W285" s="145">
        <v>478.1</v>
      </c>
      <c r="X285" s="145">
        <v>623.29999999999995</v>
      </c>
      <c r="Y285" s="175">
        <v>656.62</v>
      </c>
      <c r="Z285" s="137"/>
      <c r="AA285" s="137"/>
      <c r="AB285" s="137"/>
      <c r="AC285" s="137"/>
      <c r="AD285" s="137"/>
      <c r="AE285" s="137"/>
      <c r="AF285" s="137"/>
      <c r="AG285" s="145">
        <v>92.95</v>
      </c>
      <c r="AH285" s="137"/>
      <c r="AI285" s="137"/>
      <c r="AJ285" s="137">
        <v>110.31</v>
      </c>
      <c r="AK285" s="137"/>
      <c r="AL285" s="138"/>
    </row>
    <row r="286" spans="1:38" x14ac:dyDescent="0.35">
      <c r="A286" s="130">
        <v>40909</v>
      </c>
      <c r="B286" s="135">
        <v>459.8</v>
      </c>
      <c r="C286" s="178"/>
      <c r="D286" s="135">
        <v>209.69</v>
      </c>
      <c r="E286" s="132">
        <v>218.17</v>
      </c>
      <c r="F286" s="132">
        <v>270.21000000000004</v>
      </c>
      <c r="G286" s="126">
        <v>156.19</v>
      </c>
      <c r="H286" s="127">
        <v>156.34</v>
      </c>
      <c r="I286" s="132">
        <v>204.9</v>
      </c>
      <c r="J286" s="127">
        <v>222.74</v>
      </c>
      <c r="K286" s="127">
        <v>233.8</v>
      </c>
      <c r="L286" s="132">
        <v>212.14000000000001</v>
      </c>
      <c r="M286" s="127">
        <v>110.13000000000001</v>
      </c>
      <c r="N286" s="143">
        <v>135.6</v>
      </c>
      <c r="O286" s="126">
        <v>127.13000000000001</v>
      </c>
      <c r="P286" s="170">
        <v>152.6</v>
      </c>
      <c r="Q286" s="128">
        <v>137.88</v>
      </c>
      <c r="R286" s="170">
        <v>179.3</v>
      </c>
      <c r="S286" s="174">
        <v>427</v>
      </c>
      <c r="T286" s="136">
        <v>232.76000000000002</v>
      </c>
      <c r="U286" s="136">
        <v>337.27</v>
      </c>
      <c r="V286" s="136">
        <v>358.71000000000004</v>
      </c>
      <c r="W286" s="145">
        <v>478.1</v>
      </c>
      <c r="X286" s="145">
        <v>623.29999999999995</v>
      </c>
      <c r="Y286" s="175">
        <v>656.62</v>
      </c>
      <c r="Z286" s="137"/>
      <c r="AA286" s="137"/>
      <c r="AB286" s="137"/>
      <c r="AC286" s="137"/>
      <c r="AD286" s="137"/>
      <c r="AE286" s="137"/>
      <c r="AF286" s="137"/>
      <c r="AG286" s="145">
        <v>93.1</v>
      </c>
      <c r="AH286" s="137"/>
      <c r="AI286" s="137"/>
      <c r="AJ286" s="137">
        <v>110.24000000000001</v>
      </c>
      <c r="AK286" s="137"/>
      <c r="AL286" s="138"/>
    </row>
    <row r="287" spans="1:38" x14ac:dyDescent="0.35">
      <c r="A287" s="130">
        <v>40940</v>
      </c>
      <c r="B287" s="135">
        <v>459.85</v>
      </c>
      <c r="C287" s="178"/>
      <c r="D287" s="135">
        <v>209.84</v>
      </c>
      <c r="E287" s="132">
        <v>218.60999999999999</v>
      </c>
      <c r="F287" s="132">
        <v>270.18</v>
      </c>
      <c r="G287" s="126">
        <v>156.22000000000003</v>
      </c>
      <c r="H287" s="127">
        <v>156.44</v>
      </c>
      <c r="I287" s="132">
        <v>203.58</v>
      </c>
      <c r="J287" s="127">
        <v>222.91</v>
      </c>
      <c r="K287" s="127">
        <v>233.86</v>
      </c>
      <c r="L287" s="132">
        <v>212.09</v>
      </c>
      <c r="M287" s="127">
        <v>109.99000000000001</v>
      </c>
      <c r="N287" s="143">
        <v>135.6</v>
      </c>
      <c r="O287" s="126">
        <v>127.04</v>
      </c>
      <c r="P287" s="170">
        <v>152.6</v>
      </c>
      <c r="Q287" s="128">
        <v>137.14999999999998</v>
      </c>
      <c r="R287" s="170">
        <v>179.3</v>
      </c>
      <c r="S287" s="174">
        <v>427</v>
      </c>
      <c r="T287" s="136">
        <v>232.58</v>
      </c>
      <c r="U287" s="136">
        <v>337.17999999999995</v>
      </c>
      <c r="V287" s="136">
        <v>357.72</v>
      </c>
      <c r="W287" s="145">
        <v>478.1</v>
      </c>
      <c r="X287" s="145">
        <v>623.29999999999995</v>
      </c>
      <c r="Y287" s="175">
        <v>656.62</v>
      </c>
      <c r="Z287" s="137"/>
      <c r="AA287" s="137"/>
      <c r="AB287" s="137"/>
      <c r="AC287" s="137"/>
      <c r="AD287" s="137"/>
      <c r="AE287" s="137"/>
      <c r="AF287" s="137"/>
      <c r="AG287" s="145">
        <v>93.22999999999999</v>
      </c>
      <c r="AH287" s="137"/>
      <c r="AI287" s="137"/>
      <c r="AJ287" s="137">
        <v>110.3</v>
      </c>
      <c r="AK287" s="137"/>
      <c r="AL287" s="138"/>
    </row>
    <row r="288" spans="1:38" x14ac:dyDescent="0.35">
      <c r="A288" s="130">
        <v>40969</v>
      </c>
      <c r="B288" s="135">
        <v>459.86</v>
      </c>
      <c r="C288" s="178"/>
      <c r="D288" s="135">
        <v>209.64999999999998</v>
      </c>
      <c r="E288" s="132">
        <v>217.97</v>
      </c>
      <c r="F288" s="132">
        <v>270</v>
      </c>
      <c r="G288" s="126">
        <v>155.79000000000002</v>
      </c>
      <c r="H288" s="127">
        <v>156.16000000000003</v>
      </c>
      <c r="I288" s="132">
        <v>200.5</v>
      </c>
      <c r="J288" s="127">
        <v>222.70000000000002</v>
      </c>
      <c r="K288" s="127">
        <v>233.33</v>
      </c>
      <c r="L288" s="132">
        <v>212.09</v>
      </c>
      <c r="M288" s="127">
        <v>110.10000000000001</v>
      </c>
      <c r="N288" s="143">
        <v>135.6</v>
      </c>
      <c r="O288" s="126">
        <v>126.82000000000001</v>
      </c>
      <c r="P288" s="170">
        <v>152.6</v>
      </c>
      <c r="Q288" s="128">
        <v>136.44999999999999</v>
      </c>
      <c r="R288" s="170">
        <v>179.3</v>
      </c>
      <c r="S288" s="174">
        <v>427</v>
      </c>
      <c r="T288" s="136">
        <v>232.64000000000001</v>
      </c>
      <c r="U288" s="136">
        <v>337.11999999999995</v>
      </c>
      <c r="V288" s="136">
        <v>357.68</v>
      </c>
      <c r="W288" s="145">
        <v>478.1</v>
      </c>
      <c r="X288" s="145">
        <v>623.29999999999995</v>
      </c>
      <c r="Y288" s="175">
        <v>656.62</v>
      </c>
      <c r="Z288" s="137"/>
      <c r="AA288" s="137"/>
      <c r="AB288" s="137"/>
      <c r="AC288" s="137"/>
      <c r="AD288" s="137"/>
      <c r="AE288" s="137"/>
      <c r="AF288" s="137"/>
      <c r="AG288" s="145">
        <v>93.22</v>
      </c>
      <c r="AH288" s="137"/>
      <c r="AI288" s="137"/>
      <c r="AJ288" s="137">
        <v>110.16</v>
      </c>
      <c r="AK288" s="137"/>
      <c r="AL288" s="138"/>
    </row>
    <row r="289" spans="1:38" x14ac:dyDescent="0.35">
      <c r="A289" s="130">
        <v>41000</v>
      </c>
      <c r="B289" s="135">
        <v>459.85</v>
      </c>
      <c r="C289" s="178"/>
      <c r="D289" s="135">
        <v>209.85999999999999</v>
      </c>
      <c r="E289" s="132">
        <v>218.14999999999998</v>
      </c>
      <c r="F289" s="132">
        <v>270.40000000000003</v>
      </c>
      <c r="G289" s="126">
        <v>158.82000000000002</v>
      </c>
      <c r="H289" s="127">
        <v>157.26000000000002</v>
      </c>
      <c r="I289" s="132">
        <v>211.97</v>
      </c>
      <c r="J289" s="127">
        <v>222.73000000000002</v>
      </c>
      <c r="K289" s="127">
        <v>234.73000000000002</v>
      </c>
      <c r="L289" s="132">
        <v>212.39000000000001</v>
      </c>
      <c r="M289" s="127">
        <v>110.17000000000002</v>
      </c>
      <c r="N289" s="143">
        <v>135.6</v>
      </c>
      <c r="O289" s="126">
        <v>126.67000000000002</v>
      </c>
      <c r="P289" s="170">
        <v>152.6</v>
      </c>
      <c r="Q289" s="128">
        <v>135.93</v>
      </c>
      <c r="R289" s="170">
        <v>179.3</v>
      </c>
      <c r="S289" s="166">
        <v>429.46999999999997</v>
      </c>
      <c r="T289" s="136">
        <v>233.47000000000003</v>
      </c>
      <c r="U289" s="136">
        <v>338.59999999999997</v>
      </c>
      <c r="V289" s="136">
        <v>357.78000000000003</v>
      </c>
      <c r="W289" s="145">
        <v>478.1</v>
      </c>
      <c r="X289" s="145">
        <v>623.29999999999995</v>
      </c>
      <c r="Y289" s="175">
        <v>656.62</v>
      </c>
      <c r="Z289" s="137"/>
      <c r="AA289" s="137"/>
      <c r="AB289" s="137"/>
      <c r="AC289" s="137"/>
      <c r="AD289" s="137"/>
      <c r="AE289" s="137"/>
      <c r="AF289" s="137"/>
      <c r="AG289" s="145">
        <v>93.25</v>
      </c>
      <c r="AH289" s="137"/>
      <c r="AI289" s="137"/>
      <c r="AJ289" s="137">
        <v>110.2</v>
      </c>
      <c r="AK289" s="137"/>
      <c r="AL289" s="138"/>
    </row>
    <row r="290" spans="1:38" x14ac:dyDescent="0.35">
      <c r="A290" s="130">
        <v>41030</v>
      </c>
      <c r="B290" s="135">
        <v>459.96</v>
      </c>
      <c r="C290" s="178"/>
      <c r="D290" s="135">
        <v>209.87</v>
      </c>
      <c r="E290" s="132">
        <v>218.48</v>
      </c>
      <c r="F290" s="132">
        <v>270.27000000000004</v>
      </c>
      <c r="G290" s="126">
        <v>156.96</v>
      </c>
      <c r="H290" s="127">
        <v>156.83000000000001</v>
      </c>
      <c r="I290" s="132">
        <v>202.56</v>
      </c>
      <c r="J290" s="127">
        <v>222.76000000000002</v>
      </c>
      <c r="K290" s="127">
        <v>235.54</v>
      </c>
      <c r="L290" s="132">
        <v>212.4</v>
      </c>
      <c r="M290" s="127">
        <v>110.25000000000001</v>
      </c>
      <c r="N290" s="143">
        <v>135.6</v>
      </c>
      <c r="O290" s="126">
        <v>126.67000000000002</v>
      </c>
      <c r="P290" s="170">
        <v>152.6</v>
      </c>
      <c r="Q290" s="128">
        <v>136.44999999999999</v>
      </c>
      <c r="R290" s="170">
        <v>179.3</v>
      </c>
      <c r="S290" s="174">
        <v>427</v>
      </c>
      <c r="T290" s="136">
        <v>233.34000000000003</v>
      </c>
      <c r="U290" s="136">
        <v>337.32</v>
      </c>
      <c r="V290" s="136">
        <v>357.77000000000004</v>
      </c>
      <c r="W290" s="145">
        <v>478.1</v>
      </c>
      <c r="X290" s="145">
        <v>623.29999999999995</v>
      </c>
      <c r="Y290" s="175">
        <v>656.62</v>
      </c>
      <c r="Z290" s="137"/>
      <c r="AA290" s="137"/>
      <c r="AB290" s="137"/>
      <c r="AC290" s="137"/>
      <c r="AD290" s="137"/>
      <c r="AE290" s="137"/>
      <c r="AF290" s="137"/>
      <c r="AG290" s="145">
        <v>93.25</v>
      </c>
      <c r="AH290" s="137"/>
      <c r="AI290" s="137"/>
      <c r="AJ290" s="137">
        <v>110.22999999999999</v>
      </c>
      <c r="AK290" s="137"/>
      <c r="AL290" s="138"/>
    </row>
    <row r="291" spans="1:38" x14ac:dyDescent="0.35">
      <c r="A291" s="130">
        <v>41061</v>
      </c>
      <c r="B291" s="135">
        <v>459.87</v>
      </c>
      <c r="C291" s="178"/>
      <c r="D291" s="135">
        <v>209.78</v>
      </c>
      <c r="E291" s="132">
        <v>218.04</v>
      </c>
      <c r="F291" s="132">
        <v>269.95</v>
      </c>
      <c r="G291" s="126">
        <v>156.57000000000002</v>
      </c>
      <c r="H291" s="127">
        <v>156.57</v>
      </c>
      <c r="I291" s="132">
        <v>212.97</v>
      </c>
      <c r="J291" s="127">
        <v>222.68</v>
      </c>
      <c r="K291" s="127">
        <v>234.65</v>
      </c>
      <c r="L291" s="132">
        <v>212.17000000000002</v>
      </c>
      <c r="M291" s="127">
        <v>110.25000000000001</v>
      </c>
      <c r="N291" s="143">
        <v>135.6</v>
      </c>
      <c r="O291" s="126">
        <v>126.52000000000001</v>
      </c>
      <c r="P291" s="170">
        <v>152.6</v>
      </c>
      <c r="Q291" s="128">
        <v>134.83999999999997</v>
      </c>
      <c r="R291" s="170">
        <v>179.3</v>
      </c>
      <c r="S291" s="174">
        <v>427</v>
      </c>
      <c r="T291" s="136">
        <v>233.51000000000002</v>
      </c>
      <c r="U291" s="136">
        <v>337.27</v>
      </c>
      <c r="V291" s="136">
        <v>358.32000000000005</v>
      </c>
      <c r="W291" s="145">
        <v>478.1</v>
      </c>
      <c r="X291" s="145">
        <v>623.29999999999995</v>
      </c>
      <c r="Y291" s="175">
        <v>656.62</v>
      </c>
      <c r="Z291" s="137"/>
      <c r="AA291" s="137"/>
      <c r="AB291" s="137"/>
      <c r="AC291" s="137"/>
      <c r="AD291" s="137"/>
      <c r="AE291" s="137"/>
      <c r="AF291" s="137"/>
      <c r="AG291" s="145">
        <v>93.2</v>
      </c>
      <c r="AH291" s="137"/>
      <c r="AI291" s="137"/>
      <c r="AJ291" s="137">
        <v>110.13</v>
      </c>
      <c r="AK291" s="137"/>
      <c r="AL291" s="138"/>
    </row>
    <row r="292" spans="1:38" x14ac:dyDescent="0.35">
      <c r="A292" s="130">
        <v>41091</v>
      </c>
      <c r="B292" s="135">
        <v>459.82</v>
      </c>
      <c r="C292" s="178"/>
      <c r="D292" s="135">
        <v>209.66</v>
      </c>
      <c r="E292" s="132">
        <v>218.18</v>
      </c>
      <c r="F292" s="132">
        <v>269.63</v>
      </c>
      <c r="G292" s="126">
        <v>157.83000000000001</v>
      </c>
      <c r="H292" s="127">
        <v>157.09</v>
      </c>
      <c r="I292" s="132">
        <v>212.9</v>
      </c>
      <c r="J292" s="127">
        <v>222.78</v>
      </c>
      <c r="K292" s="127">
        <v>233.88</v>
      </c>
      <c r="L292" s="132">
        <v>212.06</v>
      </c>
      <c r="M292" s="127">
        <v>110.23000000000002</v>
      </c>
      <c r="N292" s="143">
        <v>135.6</v>
      </c>
      <c r="O292" s="126">
        <v>126.31</v>
      </c>
      <c r="P292" s="170">
        <v>152.6</v>
      </c>
      <c r="Q292" s="128">
        <v>134.29999999999998</v>
      </c>
      <c r="R292" s="170">
        <v>179.3</v>
      </c>
      <c r="S292" s="174">
        <v>427</v>
      </c>
      <c r="T292" s="136">
        <v>233.87</v>
      </c>
      <c r="U292" s="136">
        <v>337.21</v>
      </c>
      <c r="V292" s="136">
        <v>357.6</v>
      </c>
      <c r="W292" s="145">
        <v>478.1</v>
      </c>
      <c r="X292" s="145">
        <v>623.29999999999995</v>
      </c>
      <c r="Y292" s="175">
        <v>656.62</v>
      </c>
      <c r="Z292" s="137"/>
      <c r="AA292" s="137"/>
      <c r="AB292" s="137"/>
      <c r="AC292" s="137"/>
      <c r="AD292" s="137"/>
      <c r="AE292" s="137"/>
      <c r="AF292" s="137"/>
      <c r="AG292" s="145">
        <v>93.12</v>
      </c>
      <c r="AH292" s="137"/>
      <c r="AI292" s="137"/>
      <c r="AJ292" s="137">
        <v>109.94</v>
      </c>
      <c r="AK292" s="137"/>
      <c r="AL292" s="138"/>
    </row>
    <row r="293" spans="1:38" x14ac:dyDescent="0.35">
      <c r="A293" s="130">
        <v>41122</v>
      </c>
      <c r="B293" s="135">
        <v>459.82</v>
      </c>
      <c r="C293" s="178"/>
      <c r="D293" s="135">
        <v>209.66</v>
      </c>
      <c r="E293" s="132">
        <v>218.13</v>
      </c>
      <c r="F293" s="132">
        <v>269.48</v>
      </c>
      <c r="G293" s="126">
        <v>156.92000000000002</v>
      </c>
      <c r="H293" s="127">
        <v>157.03</v>
      </c>
      <c r="I293" s="132">
        <v>212.46</v>
      </c>
      <c r="J293" s="127">
        <v>222.79000000000002</v>
      </c>
      <c r="K293" s="127">
        <v>233.3</v>
      </c>
      <c r="L293" s="132">
        <v>212.04000000000002</v>
      </c>
      <c r="M293" s="129">
        <v>110.08000000000001</v>
      </c>
      <c r="N293" s="143">
        <v>135.6</v>
      </c>
      <c r="O293" s="126">
        <v>126.09</v>
      </c>
      <c r="P293" s="170">
        <v>152.6</v>
      </c>
      <c r="Q293" s="128">
        <v>133.82</v>
      </c>
      <c r="R293" s="170">
        <v>179.3</v>
      </c>
      <c r="S293" s="174">
        <v>427</v>
      </c>
      <c r="T293" s="136">
        <v>234.42000000000002</v>
      </c>
      <c r="U293" s="136">
        <v>337.28</v>
      </c>
      <c r="V293" s="136">
        <v>357.65000000000003</v>
      </c>
      <c r="W293" s="145">
        <v>478.1</v>
      </c>
      <c r="X293" s="145">
        <v>623.29999999999995</v>
      </c>
      <c r="Y293" s="175">
        <v>656.62</v>
      </c>
      <c r="Z293" s="137"/>
      <c r="AA293" s="137"/>
      <c r="AB293" s="137"/>
      <c r="AC293" s="137"/>
      <c r="AD293" s="137"/>
      <c r="AE293" s="137"/>
      <c r="AF293" s="137"/>
      <c r="AG293" s="145">
        <v>93.03</v>
      </c>
      <c r="AH293" s="137"/>
      <c r="AI293" s="137"/>
      <c r="AJ293" s="137">
        <v>109.75999999999999</v>
      </c>
      <c r="AK293" s="137"/>
      <c r="AL293" s="138"/>
    </row>
    <row r="294" spans="1:38" x14ac:dyDescent="0.35">
      <c r="A294" s="130">
        <v>41153</v>
      </c>
      <c r="B294" s="135">
        <v>459.75</v>
      </c>
      <c r="C294" s="178"/>
      <c r="D294" s="135">
        <v>209.64</v>
      </c>
      <c r="E294" s="132">
        <v>218.17</v>
      </c>
      <c r="F294" s="132">
        <v>269.14</v>
      </c>
      <c r="G294" s="126">
        <v>156.44</v>
      </c>
      <c r="H294" s="127">
        <v>156.84</v>
      </c>
      <c r="I294" s="132">
        <v>204.76000000000002</v>
      </c>
      <c r="J294" s="127">
        <v>222.79000000000002</v>
      </c>
      <c r="K294" s="127">
        <v>233.12</v>
      </c>
      <c r="L294" s="132">
        <v>212.09</v>
      </c>
      <c r="M294" s="129">
        <v>109.98000000000002</v>
      </c>
      <c r="N294" s="143">
        <v>135.6</v>
      </c>
      <c r="O294" s="126">
        <v>125.67000000000002</v>
      </c>
      <c r="P294" s="170">
        <v>152.6</v>
      </c>
      <c r="Q294" s="128">
        <v>133.04</v>
      </c>
      <c r="R294" s="170">
        <v>179.3</v>
      </c>
      <c r="S294" s="174">
        <v>427</v>
      </c>
      <c r="T294" s="136">
        <v>234.71</v>
      </c>
      <c r="U294" s="136">
        <v>337.21999999999997</v>
      </c>
      <c r="V294" s="136">
        <v>357.5</v>
      </c>
      <c r="W294" s="145">
        <v>478.1</v>
      </c>
      <c r="X294" s="145">
        <v>623.29999999999995</v>
      </c>
      <c r="Y294" s="175">
        <v>656.62</v>
      </c>
      <c r="Z294" s="137"/>
      <c r="AA294" s="137"/>
      <c r="AB294" s="137"/>
      <c r="AC294" s="137"/>
      <c r="AD294" s="137"/>
      <c r="AE294" s="137"/>
      <c r="AF294" s="137"/>
      <c r="AG294" s="145">
        <v>92.92</v>
      </c>
      <c r="AH294" s="137"/>
      <c r="AI294" s="137"/>
      <c r="AJ294" s="137">
        <v>109.39</v>
      </c>
      <c r="AK294" s="137"/>
      <c r="AL294" s="138"/>
    </row>
    <row r="295" spans="1:38" x14ac:dyDescent="0.35">
      <c r="A295" s="130">
        <v>41183</v>
      </c>
      <c r="B295" s="135">
        <v>459.69</v>
      </c>
      <c r="C295" s="178"/>
      <c r="D295" s="135">
        <v>209.56</v>
      </c>
      <c r="E295" s="132">
        <v>218.04</v>
      </c>
      <c r="F295" s="132">
        <v>269.15000000000003</v>
      </c>
      <c r="G295" s="126">
        <v>156.09</v>
      </c>
      <c r="H295" s="127">
        <v>156.62</v>
      </c>
      <c r="I295" s="132">
        <v>200.5</v>
      </c>
      <c r="J295" s="127">
        <v>222.63</v>
      </c>
      <c r="K295" s="127">
        <v>236.81</v>
      </c>
      <c r="L295" s="132">
        <v>211.98000000000002</v>
      </c>
      <c r="M295" s="129">
        <v>109.92000000000002</v>
      </c>
      <c r="N295" s="143">
        <v>135.6</v>
      </c>
      <c r="O295" s="126">
        <v>125.25</v>
      </c>
      <c r="P295" s="170">
        <v>152.6</v>
      </c>
      <c r="Q295" s="128">
        <v>132.40999999999997</v>
      </c>
      <c r="R295" s="170">
        <v>179.3</v>
      </c>
      <c r="S295" s="174">
        <v>427</v>
      </c>
      <c r="T295" s="136">
        <v>235.17000000000002</v>
      </c>
      <c r="U295" s="136">
        <v>337.28</v>
      </c>
      <c r="V295" s="136">
        <v>357.5</v>
      </c>
      <c r="W295" s="145">
        <v>478.1</v>
      </c>
      <c r="X295" s="145">
        <v>623.29999999999995</v>
      </c>
      <c r="Y295" s="175">
        <v>656.62</v>
      </c>
      <c r="Z295" s="137"/>
      <c r="AA295" s="137"/>
      <c r="AB295" s="137"/>
      <c r="AC295" s="137"/>
      <c r="AD295" s="137"/>
      <c r="AE295" s="137"/>
      <c r="AF295" s="137"/>
      <c r="AG295" s="145">
        <v>92.8</v>
      </c>
      <c r="AH295" s="137"/>
      <c r="AI295" s="137"/>
      <c r="AJ295" s="137">
        <v>109.05</v>
      </c>
      <c r="AK295" s="137"/>
      <c r="AL295" s="138"/>
    </row>
    <row r="296" spans="1:38" x14ac:dyDescent="0.35">
      <c r="A296" s="130">
        <v>41214</v>
      </c>
      <c r="B296" s="135">
        <v>459.62</v>
      </c>
      <c r="C296" s="178"/>
      <c r="D296" s="135">
        <v>209.41</v>
      </c>
      <c r="E296" s="132">
        <v>217.97</v>
      </c>
      <c r="F296" s="132">
        <v>269.13</v>
      </c>
      <c r="G296" s="126">
        <v>155.82000000000002</v>
      </c>
      <c r="H296" s="127">
        <v>156.5</v>
      </c>
      <c r="I296" s="132">
        <v>212.72</v>
      </c>
      <c r="J296" s="127">
        <v>222.57</v>
      </c>
      <c r="K296" s="127">
        <v>237.82</v>
      </c>
      <c r="L296" s="132">
        <v>213.04000000000002</v>
      </c>
      <c r="M296" s="129">
        <v>109.95000000000002</v>
      </c>
      <c r="N296" s="143">
        <v>135.6</v>
      </c>
      <c r="O296" s="126">
        <v>124.98000000000002</v>
      </c>
      <c r="P296" s="170">
        <v>152.6</v>
      </c>
      <c r="Q296" s="128">
        <v>131.88999999999999</v>
      </c>
      <c r="R296" s="170">
        <v>179.3</v>
      </c>
      <c r="S296" s="174">
        <v>427</v>
      </c>
      <c r="T296" s="136">
        <v>235.04000000000002</v>
      </c>
      <c r="U296" s="136">
        <v>337.15</v>
      </c>
      <c r="V296" s="136">
        <v>357.40000000000003</v>
      </c>
      <c r="W296" s="145">
        <v>478.1</v>
      </c>
      <c r="X296" s="145">
        <v>623.29999999999995</v>
      </c>
      <c r="Y296" s="175">
        <v>656.62</v>
      </c>
      <c r="Z296" s="137"/>
      <c r="AA296" s="137"/>
      <c r="AB296" s="137"/>
      <c r="AC296" s="137"/>
      <c r="AD296" s="137"/>
      <c r="AE296" s="137"/>
      <c r="AF296" s="137"/>
      <c r="AG296" s="145">
        <v>92.7</v>
      </c>
      <c r="AH296" s="137"/>
      <c r="AI296" s="137"/>
      <c r="AJ296" s="137">
        <v>108.77000000000001</v>
      </c>
      <c r="AK296" s="137"/>
      <c r="AL296" s="138"/>
    </row>
    <row r="297" spans="1:38" x14ac:dyDescent="0.35">
      <c r="A297" s="130">
        <v>41244</v>
      </c>
      <c r="B297" s="135">
        <v>459.62</v>
      </c>
      <c r="C297" s="178"/>
      <c r="D297" s="135">
        <v>210.01999999999998</v>
      </c>
      <c r="E297" s="132">
        <v>218.82999999999998</v>
      </c>
      <c r="F297" s="132">
        <v>270.06</v>
      </c>
      <c r="G297" s="126">
        <v>158.38</v>
      </c>
      <c r="H297" s="127">
        <v>158.39000000000001</v>
      </c>
      <c r="I297" s="132">
        <v>213.3</v>
      </c>
      <c r="J297" s="127">
        <v>222.52</v>
      </c>
      <c r="K297" s="127">
        <v>236.84</v>
      </c>
      <c r="L297" s="132">
        <v>212.25</v>
      </c>
      <c r="M297" s="129">
        <v>109.88000000000001</v>
      </c>
      <c r="N297" s="143">
        <v>135.6</v>
      </c>
      <c r="O297" s="126">
        <v>124.68</v>
      </c>
      <c r="P297" s="170">
        <v>152.6</v>
      </c>
      <c r="Q297" s="128">
        <v>131.29999999999998</v>
      </c>
      <c r="R297" s="170">
        <v>179.3</v>
      </c>
      <c r="S297" s="174">
        <v>427</v>
      </c>
      <c r="T297" s="136">
        <v>234.79000000000002</v>
      </c>
      <c r="U297" s="136">
        <v>337.21</v>
      </c>
      <c r="V297" s="136">
        <v>357.5</v>
      </c>
      <c r="W297" s="145">
        <v>478.1</v>
      </c>
      <c r="X297" s="145">
        <v>623.29999999999995</v>
      </c>
      <c r="Y297" s="175">
        <v>656.62</v>
      </c>
      <c r="Z297" s="137"/>
      <c r="AA297" s="137"/>
      <c r="AB297" s="137"/>
      <c r="AC297" s="137"/>
      <c r="AD297" s="137"/>
      <c r="AE297" s="137"/>
      <c r="AF297" s="137"/>
      <c r="AG297" s="145">
        <v>92.740000000000009</v>
      </c>
      <c r="AH297" s="137"/>
      <c r="AI297" s="137"/>
      <c r="AJ297" s="137">
        <v>108.50999999999999</v>
      </c>
      <c r="AK297" s="137"/>
      <c r="AL297" s="138"/>
    </row>
    <row r="298" spans="1:38" x14ac:dyDescent="0.35">
      <c r="A298" s="130">
        <v>41275</v>
      </c>
      <c r="B298" s="135">
        <v>459.74</v>
      </c>
      <c r="C298" s="178"/>
      <c r="D298" s="135">
        <v>209.19</v>
      </c>
      <c r="E298" s="132">
        <v>218.74</v>
      </c>
      <c r="F298" s="132">
        <v>270.29000000000002</v>
      </c>
      <c r="G298" s="126">
        <v>157.89000000000001</v>
      </c>
      <c r="H298" s="127">
        <v>157.65</v>
      </c>
      <c r="I298" s="132">
        <v>208.4</v>
      </c>
      <c r="J298" s="127">
        <v>222.51000000000002</v>
      </c>
      <c r="K298" s="127">
        <v>236.43</v>
      </c>
      <c r="L298" s="132">
        <v>212.28</v>
      </c>
      <c r="M298" s="129">
        <v>109.66000000000001</v>
      </c>
      <c r="N298" s="143">
        <v>135.6</v>
      </c>
      <c r="O298" s="126">
        <v>124.37</v>
      </c>
      <c r="P298" s="170">
        <v>152.6</v>
      </c>
      <c r="Q298" s="128">
        <v>131.04999999999998</v>
      </c>
      <c r="R298" s="170">
        <v>179.3</v>
      </c>
      <c r="S298" s="166">
        <v>428.66999999999996</v>
      </c>
      <c r="T298" s="136">
        <v>234.76000000000002</v>
      </c>
      <c r="U298" s="136">
        <v>337.07</v>
      </c>
      <c r="V298" s="136">
        <v>357.51</v>
      </c>
      <c r="W298" s="145">
        <v>478.1</v>
      </c>
      <c r="X298" s="145">
        <v>623.29999999999995</v>
      </c>
      <c r="Y298" s="175">
        <v>656.62</v>
      </c>
      <c r="Z298" s="137"/>
      <c r="AA298" s="137"/>
      <c r="AB298" s="137"/>
      <c r="AC298" s="137"/>
      <c r="AD298" s="137"/>
      <c r="AE298" s="137"/>
      <c r="AF298" s="137"/>
      <c r="AG298" s="145">
        <v>92.82</v>
      </c>
      <c r="AH298" s="137"/>
      <c r="AI298" s="137"/>
      <c r="AJ298" s="137">
        <v>108.25</v>
      </c>
      <c r="AK298" s="137"/>
      <c r="AL298" s="138"/>
    </row>
    <row r="299" spans="1:38" x14ac:dyDescent="0.35">
      <c r="A299" s="130">
        <v>41306</v>
      </c>
      <c r="B299" s="135">
        <v>459.86</v>
      </c>
      <c r="C299" s="178"/>
      <c r="D299" s="135">
        <v>210.01999999999998</v>
      </c>
      <c r="E299" s="132">
        <v>217.89</v>
      </c>
      <c r="F299" s="132">
        <v>270.21000000000004</v>
      </c>
      <c r="G299" s="126">
        <v>157.23000000000002</v>
      </c>
      <c r="H299" s="127">
        <v>157.33000000000001</v>
      </c>
      <c r="I299" s="132">
        <v>208.92000000000002</v>
      </c>
      <c r="J299" s="127">
        <v>222.59</v>
      </c>
      <c r="K299" s="127">
        <v>235.91</v>
      </c>
      <c r="L299" s="132">
        <v>212.28</v>
      </c>
      <c r="M299" s="129">
        <v>109.80000000000001</v>
      </c>
      <c r="N299" s="143">
        <v>135.6</v>
      </c>
      <c r="O299" s="126">
        <v>124.11000000000001</v>
      </c>
      <c r="P299" s="170">
        <v>152.6</v>
      </c>
      <c r="Q299" s="128">
        <v>131.13999999999999</v>
      </c>
      <c r="R299" s="170">
        <v>179.3</v>
      </c>
      <c r="S299" s="166">
        <v>428.7</v>
      </c>
      <c r="T299" s="136">
        <v>234.71</v>
      </c>
      <c r="U299" s="136">
        <v>337.02</v>
      </c>
      <c r="V299" s="136">
        <v>358.11</v>
      </c>
      <c r="W299" s="145">
        <v>478.1</v>
      </c>
      <c r="X299" s="145">
        <v>623.29999999999995</v>
      </c>
      <c r="Y299" s="175">
        <v>656.62</v>
      </c>
      <c r="Z299" s="137"/>
      <c r="AA299" s="137"/>
      <c r="AB299" s="137"/>
      <c r="AC299" s="137"/>
      <c r="AD299" s="137"/>
      <c r="AE299" s="137"/>
      <c r="AF299" s="137"/>
      <c r="AG299" s="145">
        <v>92.81</v>
      </c>
      <c r="AH299" s="137"/>
      <c r="AI299" s="137"/>
      <c r="AJ299" s="137">
        <v>108.13</v>
      </c>
      <c r="AK299" s="137"/>
      <c r="AL299" s="138"/>
    </row>
    <row r="300" spans="1:38" x14ac:dyDescent="0.35">
      <c r="A300" s="130">
        <v>41334</v>
      </c>
      <c r="B300" s="135">
        <v>460.02</v>
      </c>
      <c r="C300" s="178"/>
      <c r="D300" s="135">
        <v>210.1</v>
      </c>
      <c r="E300" s="132">
        <v>218.49</v>
      </c>
      <c r="F300" s="132">
        <v>270.10000000000002</v>
      </c>
      <c r="G300" s="126">
        <v>156.56</v>
      </c>
      <c r="H300" s="127">
        <v>157.02000000000001</v>
      </c>
      <c r="I300" s="132">
        <v>209.69</v>
      </c>
      <c r="J300" s="127">
        <v>222.62</v>
      </c>
      <c r="K300" s="127">
        <v>234.9</v>
      </c>
      <c r="L300" s="132">
        <v>212.10000000000002</v>
      </c>
      <c r="M300" s="129">
        <v>110.02000000000001</v>
      </c>
      <c r="N300" s="143">
        <v>135.6</v>
      </c>
      <c r="O300" s="126">
        <v>123.92000000000002</v>
      </c>
      <c r="P300" s="170">
        <v>152.6</v>
      </c>
      <c r="Q300" s="128">
        <v>130.73999999999998</v>
      </c>
      <c r="R300" s="170">
        <v>179.3</v>
      </c>
      <c r="S300" s="174">
        <v>427</v>
      </c>
      <c r="T300" s="136">
        <v>234.03000000000003</v>
      </c>
      <c r="U300" s="136">
        <v>337.94</v>
      </c>
      <c r="V300" s="136">
        <v>358.15000000000003</v>
      </c>
      <c r="W300" s="145">
        <v>478.1</v>
      </c>
      <c r="X300" s="145">
        <v>623.29999999999995</v>
      </c>
      <c r="Y300" s="175">
        <v>656.62</v>
      </c>
      <c r="Z300" s="137"/>
      <c r="AA300" s="137"/>
      <c r="AB300" s="137"/>
      <c r="AC300" s="137"/>
      <c r="AD300" s="137"/>
      <c r="AE300" s="137"/>
      <c r="AF300" s="137"/>
      <c r="AG300" s="145">
        <v>92.86</v>
      </c>
      <c r="AH300" s="137"/>
      <c r="AI300" s="137"/>
      <c r="AJ300" s="137">
        <v>108.02000000000001</v>
      </c>
      <c r="AK300" s="137"/>
      <c r="AL300" s="138"/>
    </row>
    <row r="301" spans="1:38" x14ac:dyDescent="0.35">
      <c r="A301" s="130">
        <v>41365</v>
      </c>
      <c r="B301" s="135">
        <v>459.98</v>
      </c>
      <c r="C301" s="178"/>
      <c r="D301" s="135">
        <v>209.34</v>
      </c>
      <c r="E301" s="132">
        <v>217.63</v>
      </c>
      <c r="F301" s="132">
        <v>269.74</v>
      </c>
      <c r="G301" s="126">
        <v>156.32000000000002</v>
      </c>
      <c r="H301" s="127">
        <v>156.28</v>
      </c>
      <c r="I301" s="132">
        <v>201.8</v>
      </c>
      <c r="J301" s="127">
        <v>222.59</v>
      </c>
      <c r="K301" s="127">
        <v>233.36</v>
      </c>
      <c r="L301" s="132">
        <v>212.03</v>
      </c>
      <c r="M301" s="129">
        <v>110.02000000000001</v>
      </c>
      <c r="N301" s="143">
        <v>135.6</v>
      </c>
      <c r="O301" s="126">
        <v>123.79</v>
      </c>
      <c r="P301" s="170">
        <v>152.6</v>
      </c>
      <c r="Q301" s="128">
        <v>130.5</v>
      </c>
      <c r="R301" s="170">
        <v>179.3</v>
      </c>
      <c r="S301" s="174">
        <v>427</v>
      </c>
      <c r="T301" s="136">
        <v>234.03000000000003</v>
      </c>
      <c r="U301" s="136">
        <v>336.83</v>
      </c>
      <c r="V301" s="136">
        <v>356.6</v>
      </c>
      <c r="W301" s="145">
        <v>478.1</v>
      </c>
      <c r="X301" s="145">
        <v>623.29999999999995</v>
      </c>
      <c r="Y301" s="175">
        <v>656.62</v>
      </c>
      <c r="Z301" s="137"/>
      <c r="AA301" s="137"/>
      <c r="AB301" s="137"/>
      <c r="AC301" s="137"/>
      <c r="AD301" s="137"/>
      <c r="AE301" s="137"/>
      <c r="AF301" s="137"/>
      <c r="AG301" s="145">
        <v>92.17</v>
      </c>
      <c r="AH301" s="137"/>
      <c r="AI301" s="137"/>
      <c r="AJ301" s="137">
        <v>107.24000000000001</v>
      </c>
      <c r="AK301" s="137"/>
      <c r="AL301" s="138"/>
    </row>
    <row r="302" spans="1:38" x14ac:dyDescent="0.35">
      <c r="A302" s="130">
        <v>41395</v>
      </c>
      <c r="B302" s="135">
        <v>459.93</v>
      </c>
      <c r="C302" s="178"/>
      <c r="D302" s="135">
        <v>209.91</v>
      </c>
      <c r="E302" s="132">
        <v>218.16</v>
      </c>
      <c r="F302" s="132">
        <v>269.42</v>
      </c>
      <c r="G302" s="126">
        <v>156.10000000000002</v>
      </c>
      <c r="H302" s="127">
        <v>156.78</v>
      </c>
      <c r="I302" s="132">
        <v>200.5</v>
      </c>
      <c r="J302" s="127">
        <v>222.51000000000002</v>
      </c>
      <c r="K302" s="127">
        <v>233.33</v>
      </c>
      <c r="L302" s="132">
        <v>211.92000000000002</v>
      </c>
      <c r="M302" s="129">
        <v>110.17000000000002</v>
      </c>
      <c r="N302" s="143">
        <v>135.6</v>
      </c>
      <c r="O302" s="126">
        <v>123.63000000000001</v>
      </c>
      <c r="P302" s="170">
        <v>152.6</v>
      </c>
      <c r="Q302" s="128">
        <v>130.20999999999998</v>
      </c>
      <c r="R302" s="170">
        <v>179.3</v>
      </c>
      <c r="S302" s="166">
        <v>426.81</v>
      </c>
      <c r="T302" s="136">
        <v>233.62</v>
      </c>
      <c r="U302" s="136">
        <v>336.77</v>
      </c>
      <c r="V302" s="136">
        <v>359.26</v>
      </c>
      <c r="W302" s="145">
        <v>478.1</v>
      </c>
      <c r="X302" s="145">
        <v>623.29999999999995</v>
      </c>
      <c r="Y302" s="175">
        <v>656.62</v>
      </c>
      <c r="Z302" s="137"/>
      <c r="AA302" s="137"/>
      <c r="AB302" s="137"/>
      <c r="AC302" s="137"/>
      <c r="AD302" s="137"/>
      <c r="AE302" s="137"/>
      <c r="AF302" s="137"/>
      <c r="AG302" s="145">
        <v>92.65</v>
      </c>
      <c r="AH302" s="137"/>
      <c r="AI302" s="137"/>
      <c r="AJ302" s="137">
        <v>107.81</v>
      </c>
      <c r="AK302" s="137"/>
      <c r="AL302" s="138"/>
    </row>
    <row r="303" spans="1:38" x14ac:dyDescent="0.35">
      <c r="A303" s="130">
        <v>41426</v>
      </c>
      <c r="B303" s="135">
        <v>459.84000000000003</v>
      </c>
      <c r="C303" s="178"/>
      <c r="D303" s="135">
        <v>209.76</v>
      </c>
      <c r="E303" s="132">
        <v>218.04</v>
      </c>
      <c r="F303" s="132">
        <v>269.18</v>
      </c>
      <c r="G303" s="126">
        <v>155.92000000000002</v>
      </c>
      <c r="H303" s="127">
        <v>155.99</v>
      </c>
      <c r="I303" s="132">
        <v>200.5</v>
      </c>
      <c r="J303" s="127">
        <v>222.46</v>
      </c>
      <c r="K303" s="127">
        <v>233.2</v>
      </c>
      <c r="L303" s="132">
        <v>211.86</v>
      </c>
      <c r="M303" s="129">
        <v>110.32000000000002</v>
      </c>
      <c r="N303" s="143">
        <v>135.6</v>
      </c>
      <c r="O303" s="126">
        <v>122.9</v>
      </c>
      <c r="P303" s="170">
        <v>152.6</v>
      </c>
      <c r="Q303" s="128">
        <v>129.85999999999999</v>
      </c>
      <c r="R303" s="170">
        <v>179.3</v>
      </c>
      <c r="S303" s="174">
        <v>427</v>
      </c>
      <c r="T303" s="136">
        <v>233.07000000000002</v>
      </c>
      <c r="U303" s="136">
        <v>336.77</v>
      </c>
      <c r="V303" s="136">
        <v>357.54</v>
      </c>
      <c r="W303" s="145">
        <v>478.1</v>
      </c>
      <c r="X303" s="145">
        <v>623.29999999999995</v>
      </c>
      <c r="Y303" s="175">
        <v>656.62</v>
      </c>
      <c r="Z303" s="137"/>
      <c r="AA303" s="137"/>
      <c r="AB303" s="137"/>
      <c r="AC303" s="142"/>
      <c r="AD303" s="137"/>
      <c r="AE303" s="142"/>
      <c r="AF303" s="137"/>
      <c r="AG303" s="145">
        <v>91.87</v>
      </c>
      <c r="AH303" s="142"/>
      <c r="AI303" s="137"/>
      <c r="AJ303" s="137">
        <v>107.69</v>
      </c>
      <c r="AK303" s="142"/>
      <c r="AL303" s="138"/>
    </row>
    <row r="304" spans="1:38" x14ac:dyDescent="0.35">
      <c r="A304" s="130">
        <v>41456</v>
      </c>
      <c r="B304" s="135">
        <v>459.81</v>
      </c>
      <c r="C304" s="178"/>
      <c r="D304" s="135">
        <v>209.7</v>
      </c>
      <c r="E304" s="132">
        <v>217.85</v>
      </c>
      <c r="F304" s="132">
        <v>268.65000000000003</v>
      </c>
      <c r="G304" s="126">
        <v>155.88</v>
      </c>
      <c r="H304" s="127">
        <v>156.62</v>
      </c>
      <c r="I304" s="132">
        <v>200.5</v>
      </c>
      <c r="J304" s="127">
        <v>218.72</v>
      </c>
      <c r="K304" s="127">
        <v>234.47</v>
      </c>
      <c r="L304" s="132">
        <v>211.81</v>
      </c>
      <c r="M304" s="129">
        <v>110.19000000000001</v>
      </c>
      <c r="N304" s="143">
        <v>135.6</v>
      </c>
      <c r="O304" s="126">
        <v>123.45000000000002</v>
      </c>
      <c r="P304" s="170">
        <v>152.6</v>
      </c>
      <c r="Q304" s="128">
        <v>129.40999999999997</v>
      </c>
      <c r="R304" s="170">
        <v>179.3</v>
      </c>
      <c r="S304" s="174">
        <v>427</v>
      </c>
      <c r="T304" s="136">
        <v>232.62</v>
      </c>
      <c r="U304" s="136">
        <v>336.76</v>
      </c>
      <c r="V304" s="136">
        <v>357.20000000000005</v>
      </c>
      <c r="W304" s="145">
        <v>478.1</v>
      </c>
      <c r="X304" s="145">
        <v>623.29999999999995</v>
      </c>
      <c r="Y304" s="175">
        <v>656.62</v>
      </c>
      <c r="Z304" s="137"/>
      <c r="AA304" s="137"/>
      <c r="AB304" s="137"/>
      <c r="AC304" s="168">
        <v>83.249999999999986</v>
      </c>
      <c r="AD304" s="145">
        <v>115.6</v>
      </c>
      <c r="AE304" s="142">
        <v>94.320000000000007</v>
      </c>
      <c r="AF304" s="176">
        <v>127.1</v>
      </c>
      <c r="AG304" s="137"/>
      <c r="AH304" s="142">
        <v>49.349999999999994</v>
      </c>
      <c r="AI304" s="176">
        <v>100.3</v>
      </c>
      <c r="AJ304" s="137"/>
      <c r="AK304" s="142">
        <v>111.03999999999999</v>
      </c>
      <c r="AL304" s="181">
        <v>136.6</v>
      </c>
    </row>
    <row r="305" spans="1:38" x14ac:dyDescent="0.35">
      <c r="A305" s="130">
        <v>41487</v>
      </c>
      <c r="B305" s="135">
        <v>459.73</v>
      </c>
      <c r="C305" s="178"/>
      <c r="D305" s="135">
        <v>208.98999999999998</v>
      </c>
      <c r="E305" s="132">
        <v>217.85</v>
      </c>
      <c r="F305" s="132">
        <v>268.39</v>
      </c>
      <c r="G305" s="126">
        <v>155.93</v>
      </c>
      <c r="H305" s="127">
        <v>156.68</v>
      </c>
      <c r="I305" s="132">
        <v>200.5</v>
      </c>
      <c r="J305" s="127">
        <v>222.39000000000001</v>
      </c>
      <c r="K305" s="127">
        <v>234.96</v>
      </c>
      <c r="L305" s="132">
        <v>211.77</v>
      </c>
      <c r="M305" s="129">
        <v>110.09</v>
      </c>
      <c r="N305" s="143">
        <v>135.6</v>
      </c>
      <c r="O305" s="126">
        <v>123.21000000000001</v>
      </c>
      <c r="P305" s="170">
        <v>152.6</v>
      </c>
      <c r="Q305" s="128">
        <v>129.02999999999997</v>
      </c>
      <c r="R305" s="170">
        <v>179.3</v>
      </c>
      <c r="S305" s="174">
        <v>427</v>
      </c>
      <c r="T305" s="136">
        <v>231.87</v>
      </c>
      <c r="U305" s="136">
        <v>336.7</v>
      </c>
      <c r="V305" s="136">
        <v>357.42</v>
      </c>
      <c r="W305" s="145">
        <v>478.1</v>
      </c>
      <c r="X305" s="145">
        <v>623.29999999999995</v>
      </c>
      <c r="Y305" s="175">
        <v>656.62</v>
      </c>
      <c r="Z305" s="137"/>
      <c r="AA305" s="137"/>
      <c r="AB305" s="137"/>
      <c r="AC305" s="142">
        <v>83.72999999999999</v>
      </c>
      <c r="AD305" s="145">
        <v>115.6</v>
      </c>
      <c r="AE305" s="142">
        <v>97.65</v>
      </c>
      <c r="AF305" s="176">
        <v>127.1</v>
      </c>
      <c r="AG305" s="137"/>
      <c r="AH305" s="142">
        <v>56.36</v>
      </c>
      <c r="AI305" s="176">
        <v>100.3</v>
      </c>
      <c r="AJ305" s="137"/>
      <c r="AK305" s="142">
        <v>110.8</v>
      </c>
      <c r="AL305" s="181">
        <v>136.6</v>
      </c>
    </row>
    <row r="306" spans="1:38" x14ac:dyDescent="0.35">
      <c r="A306" s="130">
        <v>41518</v>
      </c>
      <c r="B306" s="135">
        <v>459.65999999999997</v>
      </c>
      <c r="C306" s="178"/>
      <c r="D306" s="135">
        <v>209.44</v>
      </c>
      <c r="E306" s="132">
        <v>217.60999999999999</v>
      </c>
      <c r="F306" s="132">
        <v>268.12</v>
      </c>
      <c r="G306" s="126">
        <v>156.21</v>
      </c>
      <c r="H306" s="127">
        <v>156.82</v>
      </c>
      <c r="I306" s="132">
        <v>205.85000000000002</v>
      </c>
      <c r="J306" s="127">
        <v>222.34</v>
      </c>
      <c r="K306" s="127">
        <v>232.91</v>
      </c>
      <c r="L306" s="132">
        <v>211.08</v>
      </c>
      <c r="M306" s="129">
        <v>110.19000000000001</v>
      </c>
      <c r="N306" s="143">
        <v>135.6</v>
      </c>
      <c r="O306" s="126">
        <v>122.21000000000001</v>
      </c>
      <c r="P306" s="170">
        <v>152.6</v>
      </c>
      <c r="Q306" s="128">
        <v>127.82</v>
      </c>
      <c r="R306" s="170">
        <v>179.3</v>
      </c>
      <c r="S306" s="174">
        <v>427</v>
      </c>
      <c r="T306" s="136">
        <v>231.35000000000002</v>
      </c>
      <c r="U306" s="136">
        <v>336.83</v>
      </c>
      <c r="V306" s="136">
        <v>357.11</v>
      </c>
      <c r="W306" s="145">
        <v>478.1</v>
      </c>
      <c r="X306" s="145">
        <v>623.29999999999995</v>
      </c>
      <c r="Y306" s="175">
        <v>656.62</v>
      </c>
      <c r="Z306" s="137"/>
      <c r="AA306" s="137"/>
      <c r="AB306" s="137"/>
      <c r="AC306" s="142">
        <v>83.639999999999986</v>
      </c>
      <c r="AD306" s="145">
        <v>115.6</v>
      </c>
      <c r="AE306" s="142">
        <v>97.570000000000007</v>
      </c>
      <c r="AF306" s="176">
        <v>127.1</v>
      </c>
      <c r="AG306" s="137"/>
      <c r="AH306" s="142">
        <v>64.63</v>
      </c>
      <c r="AI306" s="176">
        <v>100.3</v>
      </c>
      <c r="AJ306" s="137"/>
      <c r="AK306" s="142">
        <v>109.91</v>
      </c>
      <c r="AL306" s="181">
        <v>136.6</v>
      </c>
    </row>
    <row r="307" spans="1:38" x14ac:dyDescent="0.35">
      <c r="A307" s="130">
        <v>41548</v>
      </c>
      <c r="B307" s="135">
        <v>459.6</v>
      </c>
      <c r="C307" s="178"/>
      <c r="D307" s="135">
        <v>209.35</v>
      </c>
      <c r="E307" s="132">
        <v>217.45</v>
      </c>
      <c r="F307" s="132">
        <v>267.88</v>
      </c>
      <c r="G307" s="126">
        <v>156.09</v>
      </c>
      <c r="H307" s="127">
        <v>156.84</v>
      </c>
      <c r="I307" s="132">
        <v>212.64000000000001</v>
      </c>
      <c r="J307" s="127">
        <v>222.32</v>
      </c>
      <c r="K307" s="127">
        <v>231.99</v>
      </c>
      <c r="L307" s="132">
        <v>211.81</v>
      </c>
      <c r="M307" s="129">
        <v>110.12</v>
      </c>
      <c r="N307" s="143">
        <v>135.6</v>
      </c>
      <c r="O307" s="126">
        <v>122.61000000000001</v>
      </c>
      <c r="P307" s="170">
        <v>152.6</v>
      </c>
      <c r="Q307" s="128">
        <v>128.15999999999997</v>
      </c>
      <c r="R307" s="170">
        <v>179.3</v>
      </c>
      <c r="S307" s="174">
        <v>427</v>
      </c>
      <c r="T307" s="136">
        <v>230.74</v>
      </c>
      <c r="U307" s="136">
        <v>336.71999999999997</v>
      </c>
      <c r="V307" s="136">
        <v>356.97</v>
      </c>
      <c r="W307" s="145">
        <v>478.1</v>
      </c>
      <c r="X307" s="145">
        <v>623.29999999999995</v>
      </c>
      <c r="Y307" s="175">
        <v>656.62</v>
      </c>
      <c r="Z307" s="137"/>
      <c r="AA307" s="137"/>
      <c r="AB307" s="137"/>
      <c r="AC307" s="142">
        <v>83.549999999999983</v>
      </c>
      <c r="AD307" s="145">
        <v>115.6</v>
      </c>
      <c r="AE307" s="142">
        <v>97.54</v>
      </c>
      <c r="AF307" s="176">
        <v>127.1</v>
      </c>
      <c r="AG307" s="137"/>
      <c r="AH307" s="142">
        <v>71.36999999999999</v>
      </c>
      <c r="AI307" s="176">
        <v>100.3</v>
      </c>
      <c r="AJ307" s="137"/>
      <c r="AK307" s="142">
        <v>110.44999999999999</v>
      </c>
      <c r="AL307" s="181">
        <v>136.6</v>
      </c>
    </row>
    <row r="308" spans="1:38" x14ac:dyDescent="0.35">
      <c r="A308" s="130">
        <v>41579</v>
      </c>
      <c r="B308" s="135">
        <v>459.58</v>
      </c>
      <c r="C308" s="178"/>
      <c r="D308" s="135">
        <v>209.26</v>
      </c>
      <c r="E308" s="132">
        <v>217.34</v>
      </c>
      <c r="F308" s="132">
        <v>268.01</v>
      </c>
      <c r="G308" s="126">
        <v>155.83000000000001</v>
      </c>
      <c r="H308" s="127">
        <v>156.57</v>
      </c>
      <c r="I308" s="132">
        <v>212.99</v>
      </c>
      <c r="J308" s="127">
        <v>222.33</v>
      </c>
      <c r="K308" s="127">
        <v>231.61</v>
      </c>
      <c r="L308" s="132">
        <v>211.69</v>
      </c>
      <c r="M308" s="129">
        <v>110.18</v>
      </c>
      <c r="N308" s="143">
        <v>135.6</v>
      </c>
      <c r="O308" s="126">
        <v>122.56</v>
      </c>
      <c r="P308" s="170">
        <v>152.6</v>
      </c>
      <c r="Q308" s="128">
        <v>127.78999999999999</v>
      </c>
      <c r="R308" s="170">
        <v>179.3</v>
      </c>
      <c r="S308" s="174">
        <v>427</v>
      </c>
      <c r="T308" s="136">
        <v>230.23000000000002</v>
      </c>
      <c r="U308" s="136">
        <v>336.78999999999996</v>
      </c>
      <c r="V308" s="136">
        <v>357.66</v>
      </c>
      <c r="W308" s="145">
        <v>478.1</v>
      </c>
      <c r="X308" s="145">
        <v>623.29999999999995</v>
      </c>
      <c r="Y308" s="175">
        <v>656.62</v>
      </c>
      <c r="Z308" s="137"/>
      <c r="AA308" s="137"/>
      <c r="AB308" s="137"/>
      <c r="AC308" s="142">
        <v>83.489999999999981</v>
      </c>
      <c r="AD308" s="145">
        <v>115.6</v>
      </c>
      <c r="AE308" s="142">
        <v>97.53</v>
      </c>
      <c r="AF308" s="176">
        <v>127.1</v>
      </c>
      <c r="AG308" s="137"/>
      <c r="AH308" s="142">
        <v>74.47999999999999</v>
      </c>
      <c r="AI308" s="176">
        <v>100.3</v>
      </c>
      <c r="AJ308" s="137"/>
      <c r="AK308" s="142">
        <v>109.64</v>
      </c>
      <c r="AL308" s="181">
        <v>136.6</v>
      </c>
    </row>
    <row r="309" spans="1:38" x14ac:dyDescent="0.35">
      <c r="A309" s="130">
        <v>41609</v>
      </c>
      <c r="B309" s="135">
        <v>459.5</v>
      </c>
      <c r="C309" s="178"/>
      <c r="D309" s="135">
        <v>209.2</v>
      </c>
      <c r="E309" s="132">
        <v>217.31</v>
      </c>
      <c r="F309" s="132">
        <v>267.89</v>
      </c>
      <c r="G309" s="126">
        <v>155.73000000000002</v>
      </c>
      <c r="H309" s="127">
        <v>156.22000000000003</v>
      </c>
      <c r="I309" s="132">
        <v>211.97</v>
      </c>
      <c r="J309" s="127">
        <v>222.31</v>
      </c>
      <c r="K309" s="127">
        <v>234.66</v>
      </c>
      <c r="L309" s="132">
        <v>211.73000000000002</v>
      </c>
      <c r="M309" s="129">
        <v>110.15</v>
      </c>
      <c r="N309" s="143">
        <v>135.6</v>
      </c>
      <c r="O309" s="126">
        <v>122.9</v>
      </c>
      <c r="P309" s="170">
        <v>152.6</v>
      </c>
      <c r="Q309" s="128">
        <v>127.73999999999998</v>
      </c>
      <c r="R309" s="170">
        <v>179.3</v>
      </c>
      <c r="S309" s="174">
        <v>427</v>
      </c>
      <c r="T309" s="136">
        <v>229.62</v>
      </c>
      <c r="U309" s="136">
        <v>336.78</v>
      </c>
      <c r="V309" s="136">
        <v>357.21000000000004</v>
      </c>
      <c r="W309" s="145">
        <v>478.1</v>
      </c>
      <c r="X309" s="145">
        <v>623.29999999999995</v>
      </c>
      <c r="Y309" s="175">
        <v>656.62</v>
      </c>
      <c r="Z309" s="137"/>
      <c r="AA309" s="137"/>
      <c r="AB309" s="137"/>
      <c r="AC309" s="142">
        <v>83.339999999999989</v>
      </c>
      <c r="AD309" s="145">
        <v>115.6</v>
      </c>
      <c r="AE309" s="142">
        <v>97.450000000000017</v>
      </c>
      <c r="AF309" s="176">
        <v>127.1</v>
      </c>
      <c r="AG309" s="137"/>
      <c r="AH309" s="142">
        <v>83.169999999999987</v>
      </c>
      <c r="AI309" s="176">
        <v>100.3</v>
      </c>
      <c r="AJ309" s="137"/>
      <c r="AK309" s="142">
        <v>110.15</v>
      </c>
      <c r="AL309" s="181">
        <v>136.6</v>
      </c>
    </row>
    <row r="310" spans="1:38" x14ac:dyDescent="0.35">
      <c r="A310" s="130">
        <v>41640</v>
      </c>
      <c r="B310" s="135">
        <v>459.5</v>
      </c>
      <c r="C310" s="178"/>
      <c r="D310" s="135">
        <v>209.2</v>
      </c>
      <c r="E310" s="132">
        <v>217.28</v>
      </c>
      <c r="F310" s="132">
        <v>267.95</v>
      </c>
      <c r="G310" s="126">
        <v>155.60000000000002</v>
      </c>
      <c r="H310" s="127">
        <v>156.08000000000001</v>
      </c>
      <c r="I310" s="132">
        <v>212.55</v>
      </c>
      <c r="J310" s="127">
        <v>222.26000000000002</v>
      </c>
      <c r="K310" s="127">
        <v>235.78</v>
      </c>
      <c r="L310" s="132">
        <v>211.79000000000002</v>
      </c>
      <c r="M310" s="129">
        <v>109.92000000000002</v>
      </c>
      <c r="N310" s="143">
        <v>135.6</v>
      </c>
      <c r="O310" s="126">
        <v>122.46000000000001</v>
      </c>
      <c r="P310" s="170">
        <v>152.6</v>
      </c>
      <c r="Q310" s="128">
        <v>127.71999999999998</v>
      </c>
      <c r="R310" s="170">
        <v>179.3</v>
      </c>
      <c r="S310" s="174">
        <v>427</v>
      </c>
      <c r="T310" s="136">
        <v>229.41000000000003</v>
      </c>
      <c r="U310" s="136">
        <v>336.84</v>
      </c>
      <c r="V310" s="136">
        <v>357.36</v>
      </c>
      <c r="W310" s="145">
        <v>478.1</v>
      </c>
      <c r="X310" s="145">
        <v>623.29999999999995</v>
      </c>
      <c r="Y310" s="175">
        <v>656.62</v>
      </c>
      <c r="Z310" s="137"/>
      <c r="AA310" s="137"/>
      <c r="AB310" s="137"/>
      <c r="AC310" s="142">
        <v>83.299999999999983</v>
      </c>
      <c r="AD310" s="145">
        <v>115.6</v>
      </c>
      <c r="AE310" s="142">
        <v>97.43</v>
      </c>
      <c r="AF310" s="176">
        <v>127.1</v>
      </c>
      <c r="AG310" s="137"/>
      <c r="AH310" s="142">
        <v>85.57</v>
      </c>
      <c r="AI310" s="176">
        <v>100.3</v>
      </c>
      <c r="AJ310" s="137"/>
      <c r="AK310" s="142">
        <v>110.1</v>
      </c>
      <c r="AL310" s="181">
        <v>136.6</v>
      </c>
    </row>
    <row r="311" spans="1:38" x14ac:dyDescent="0.35">
      <c r="A311" s="130">
        <v>41671</v>
      </c>
      <c r="B311" s="135">
        <v>459.49</v>
      </c>
      <c r="C311" s="178"/>
      <c r="D311" s="135">
        <v>209.31</v>
      </c>
      <c r="E311" s="132">
        <v>217.28</v>
      </c>
      <c r="F311" s="132">
        <v>267.66000000000003</v>
      </c>
      <c r="G311" s="126">
        <v>155.45000000000002</v>
      </c>
      <c r="H311" s="127">
        <v>155.92000000000002</v>
      </c>
      <c r="I311" s="132">
        <v>211.71</v>
      </c>
      <c r="J311" s="127">
        <v>222.28</v>
      </c>
      <c r="K311" s="127">
        <v>233.81</v>
      </c>
      <c r="L311" s="132">
        <v>211.74</v>
      </c>
      <c r="M311" s="129">
        <v>109.87</v>
      </c>
      <c r="N311" s="143">
        <v>135.6</v>
      </c>
      <c r="O311" s="126">
        <v>123.26000000000002</v>
      </c>
      <c r="P311" s="170">
        <v>152.6</v>
      </c>
      <c r="Q311" s="128">
        <v>127.66999999999999</v>
      </c>
      <c r="R311" s="170">
        <v>179.3</v>
      </c>
      <c r="S311" s="174">
        <v>427</v>
      </c>
      <c r="T311" s="136">
        <v>229.08</v>
      </c>
      <c r="U311" s="136">
        <v>336.88</v>
      </c>
      <c r="V311" s="136">
        <v>357.37</v>
      </c>
      <c r="W311" s="145">
        <v>478.1</v>
      </c>
      <c r="X311" s="145">
        <v>623.29999999999995</v>
      </c>
      <c r="Y311" s="175">
        <v>656.62</v>
      </c>
      <c r="Z311" s="137"/>
      <c r="AA311" s="137"/>
      <c r="AB311" s="137"/>
      <c r="AC311" s="142">
        <v>83.259999999999991</v>
      </c>
      <c r="AD311" s="145">
        <v>115.6</v>
      </c>
      <c r="AE311" s="142">
        <v>97.390000000000015</v>
      </c>
      <c r="AF311" s="176">
        <v>127.1</v>
      </c>
      <c r="AG311" s="137"/>
      <c r="AH311" s="142">
        <v>87.63</v>
      </c>
      <c r="AI311" s="176">
        <v>100.3</v>
      </c>
      <c r="AJ311" s="137"/>
      <c r="AK311" s="142">
        <v>110.05</v>
      </c>
      <c r="AL311" s="181">
        <v>136.6</v>
      </c>
    </row>
    <row r="312" spans="1:38" x14ac:dyDescent="0.35">
      <c r="A312" s="130">
        <v>41699</v>
      </c>
      <c r="B312" s="135">
        <v>459.51</v>
      </c>
      <c r="C312" s="178"/>
      <c r="D312" s="135">
        <v>209.25</v>
      </c>
      <c r="E312" s="132">
        <v>217.26</v>
      </c>
      <c r="F312" s="132">
        <v>269.23</v>
      </c>
      <c r="G312" s="126">
        <v>156.62</v>
      </c>
      <c r="H312" s="127">
        <v>156.92000000000002</v>
      </c>
      <c r="I312" s="132">
        <v>208.95000000000002</v>
      </c>
      <c r="J312" s="127">
        <v>222.39000000000001</v>
      </c>
      <c r="K312" s="127">
        <v>232.36</v>
      </c>
      <c r="L312" s="132">
        <v>212.02</v>
      </c>
      <c r="M312" s="129">
        <v>110.10000000000001</v>
      </c>
      <c r="N312" s="143">
        <v>135.6</v>
      </c>
      <c r="O312" s="126">
        <v>123.20000000000002</v>
      </c>
      <c r="P312" s="170">
        <v>152.6</v>
      </c>
      <c r="Q312" s="128">
        <v>127.90999999999998</v>
      </c>
      <c r="R312" s="170">
        <v>179.3</v>
      </c>
      <c r="S312" s="174">
        <v>427</v>
      </c>
      <c r="T312" s="136">
        <v>228.8</v>
      </c>
      <c r="U312" s="136">
        <v>336.86999999999995</v>
      </c>
      <c r="V312" s="136">
        <v>357.5</v>
      </c>
      <c r="W312" s="145">
        <v>478.1</v>
      </c>
      <c r="X312" s="145">
        <v>623.29999999999995</v>
      </c>
      <c r="Y312" s="175">
        <v>656.62</v>
      </c>
      <c r="Z312" s="140"/>
      <c r="AA312" s="140"/>
      <c r="AB312" s="140"/>
      <c r="AC312" s="142">
        <v>83.22999999999999</v>
      </c>
      <c r="AD312" s="145">
        <v>115.6</v>
      </c>
      <c r="AE312" s="142">
        <v>97.420000000000016</v>
      </c>
      <c r="AF312" s="176">
        <v>127.1</v>
      </c>
      <c r="AG312" s="140"/>
      <c r="AH312" s="142">
        <v>89.03</v>
      </c>
      <c r="AI312" s="176">
        <v>100.3</v>
      </c>
      <c r="AJ312" s="140"/>
      <c r="AK312" s="142">
        <v>110.03</v>
      </c>
      <c r="AL312" s="181">
        <v>136.6</v>
      </c>
    </row>
    <row r="313" spans="1:38" x14ac:dyDescent="0.35">
      <c r="A313" s="130">
        <v>41730</v>
      </c>
      <c r="B313" s="135">
        <v>459.47</v>
      </c>
      <c r="C313" s="178"/>
      <c r="D313" s="135">
        <v>209.04999999999998</v>
      </c>
      <c r="E313" s="132">
        <v>216.94</v>
      </c>
      <c r="F313" s="132">
        <v>269.32</v>
      </c>
      <c r="G313" s="126">
        <v>155.30000000000001</v>
      </c>
      <c r="H313" s="127">
        <v>156.14000000000001</v>
      </c>
      <c r="I313" s="132">
        <v>200.5</v>
      </c>
      <c r="J313" s="127">
        <v>222.38</v>
      </c>
      <c r="K313" s="127">
        <v>231.06</v>
      </c>
      <c r="L313" s="132">
        <v>211.88</v>
      </c>
      <c r="M313" s="129">
        <v>110.09</v>
      </c>
      <c r="N313" s="143">
        <v>135.6</v>
      </c>
      <c r="O313" s="126">
        <v>122.98000000000002</v>
      </c>
      <c r="P313" s="170">
        <v>152.6</v>
      </c>
      <c r="Q313" s="128">
        <v>127.38999999999999</v>
      </c>
      <c r="R313" s="170">
        <v>179.3</v>
      </c>
      <c r="S313" s="174">
        <v>427</v>
      </c>
      <c r="T313" s="136">
        <v>228.71</v>
      </c>
      <c r="U313" s="136">
        <v>336.85999999999996</v>
      </c>
      <c r="V313" s="136">
        <v>357.36</v>
      </c>
      <c r="W313" s="145">
        <v>478.1</v>
      </c>
      <c r="X313" s="145">
        <v>623.29999999999995</v>
      </c>
      <c r="Y313" s="175">
        <v>656.62</v>
      </c>
      <c r="Z313" s="140"/>
      <c r="AA313" s="140"/>
      <c r="AB313" s="140"/>
      <c r="AC313" s="142">
        <v>79.38</v>
      </c>
      <c r="AD313" s="145">
        <v>115.6</v>
      </c>
      <c r="AE313" s="142">
        <v>97.27000000000001</v>
      </c>
      <c r="AF313" s="176">
        <v>127.1</v>
      </c>
      <c r="AG313" s="140"/>
      <c r="AH313" s="142">
        <v>90.22</v>
      </c>
      <c r="AI313" s="176">
        <v>100.3</v>
      </c>
      <c r="AJ313" s="140"/>
      <c r="AK313" s="142">
        <v>109.94999999999999</v>
      </c>
      <c r="AL313" s="181">
        <v>136.6</v>
      </c>
    </row>
    <row r="314" spans="1:38" x14ac:dyDescent="0.35">
      <c r="A314" s="130">
        <v>41760</v>
      </c>
      <c r="B314" s="135">
        <v>459.5</v>
      </c>
      <c r="C314" s="178"/>
      <c r="D314" s="135">
        <v>208.95999999999998</v>
      </c>
      <c r="E314" s="132">
        <v>216.76999999999998</v>
      </c>
      <c r="F314" s="132">
        <v>269.04000000000002</v>
      </c>
      <c r="G314" s="126">
        <v>155.5</v>
      </c>
      <c r="H314" s="127">
        <v>155.89000000000001</v>
      </c>
      <c r="I314" s="132">
        <v>200.5</v>
      </c>
      <c r="J314" s="127">
        <v>222.33</v>
      </c>
      <c r="K314" s="127">
        <v>230.14000000000001</v>
      </c>
      <c r="L314" s="132">
        <v>211.84</v>
      </c>
      <c r="M314" s="129">
        <v>110.06</v>
      </c>
      <c r="N314" s="143">
        <v>135.6</v>
      </c>
      <c r="O314" s="126">
        <v>122.71000000000001</v>
      </c>
      <c r="P314" s="170">
        <v>152.6</v>
      </c>
      <c r="Q314" s="128">
        <v>127.07999999999998</v>
      </c>
      <c r="R314" s="170">
        <v>179.3</v>
      </c>
      <c r="S314" s="174">
        <v>427</v>
      </c>
      <c r="T314" s="136">
        <v>228.75000000000003</v>
      </c>
      <c r="U314" s="136">
        <v>336.80999999999995</v>
      </c>
      <c r="V314" s="136">
        <v>357.29</v>
      </c>
      <c r="W314" s="145">
        <v>478.1</v>
      </c>
      <c r="X314" s="145">
        <v>623.29999999999995</v>
      </c>
      <c r="Y314" s="175">
        <v>656.62</v>
      </c>
      <c r="Z314" s="140"/>
      <c r="AA314" s="140"/>
      <c r="AB314" s="140"/>
      <c r="AC314" s="142">
        <v>82.989999999999981</v>
      </c>
      <c r="AD314" s="145">
        <v>115.6</v>
      </c>
      <c r="AE314" s="142">
        <v>97.190000000000012</v>
      </c>
      <c r="AF314" s="176">
        <v>127.1</v>
      </c>
      <c r="AG314" s="140"/>
      <c r="AH314" s="142">
        <v>90.61999999999999</v>
      </c>
      <c r="AI314" s="176">
        <v>100.3</v>
      </c>
      <c r="AJ314" s="140"/>
      <c r="AK314" s="142">
        <v>109.97999999999999</v>
      </c>
      <c r="AL314" s="181">
        <v>136.6</v>
      </c>
    </row>
    <row r="315" spans="1:38" x14ac:dyDescent="0.35">
      <c r="A315" s="130">
        <v>41791</v>
      </c>
      <c r="B315" s="135">
        <v>459.45</v>
      </c>
      <c r="C315" s="178"/>
      <c r="D315" s="135">
        <v>208.79</v>
      </c>
      <c r="E315" s="132">
        <v>216.59</v>
      </c>
      <c r="F315" s="132">
        <v>268.74</v>
      </c>
      <c r="G315" s="126">
        <v>155.29000000000002</v>
      </c>
      <c r="H315" s="127">
        <v>155.73000000000002</v>
      </c>
      <c r="I315" s="132">
        <v>200.5</v>
      </c>
      <c r="J315" s="127">
        <v>222.29000000000002</v>
      </c>
      <c r="K315" s="127">
        <v>229.42000000000002</v>
      </c>
      <c r="L315" s="132">
        <v>211.73000000000002</v>
      </c>
      <c r="M315" s="129">
        <v>110.11000000000001</v>
      </c>
      <c r="N315" s="143">
        <v>135.6</v>
      </c>
      <c r="O315" s="126">
        <v>122.51000000000002</v>
      </c>
      <c r="P315" s="170">
        <v>152.6</v>
      </c>
      <c r="Q315" s="128">
        <v>126.82999999999998</v>
      </c>
      <c r="R315" s="170">
        <v>179.3</v>
      </c>
      <c r="S315" s="174">
        <v>427</v>
      </c>
      <c r="T315" s="136">
        <v>228.62</v>
      </c>
      <c r="U315" s="136">
        <v>336.82</v>
      </c>
      <c r="V315" s="136">
        <v>357.32000000000005</v>
      </c>
      <c r="W315" s="145">
        <v>478.1</v>
      </c>
      <c r="X315" s="145">
        <v>623.29999999999995</v>
      </c>
      <c r="Y315" s="175">
        <v>656.62</v>
      </c>
      <c r="Z315" s="140"/>
      <c r="AA315" s="140"/>
      <c r="AB315" s="140"/>
      <c r="AC315" s="142">
        <v>82.869999999999976</v>
      </c>
      <c r="AD315" s="145">
        <v>115.6</v>
      </c>
      <c r="AE315" s="142">
        <v>97.09</v>
      </c>
      <c r="AF315" s="176">
        <v>127.1</v>
      </c>
      <c r="AG315" s="140"/>
      <c r="AH315" s="142">
        <v>90.84</v>
      </c>
      <c r="AI315" s="176">
        <v>100.3</v>
      </c>
      <c r="AJ315" s="140"/>
      <c r="AK315" s="142">
        <v>110.03999999999999</v>
      </c>
      <c r="AL315" s="181">
        <v>136.6</v>
      </c>
    </row>
    <row r="316" spans="1:38" x14ac:dyDescent="0.35">
      <c r="A316" s="130">
        <v>41821</v>
      </c>
      <c r="B316" s="135">
        <v>459.40999999999997</v>
      </c>
      <c r="C316" s="178"/>
      <c r="D316" s="135">
        <v>208.59</v>
      </c>
      <c r="E316" s="132">
        <v>216.39999999999998</v>
      </c>
      <c r="F316" s="132">
        <v>268.7</v>
      </c>
      <c r="G316" s="126">
        <v>155.15</v>
      </c>
      <c r="H316" s="127">
        <v>155.66000000000003</v>
      </c>
      <c r="I316" s="132">
        <v>200.5</v>
      </c>
      <c r="J316" s="127">
        <v>222.28</v>
      </c>
      <c r="K316" s="127">
        <v>228.96</v>
      </c>
      <c r="L316" s="132">
        <v>211.68</v>
      </c>
      <c r="M316" s="129">
        <v>109.98000000000002</v>
      </c>
      <c r="N316" s="143">
        <v>135.6</v>
      </c>
      <c r="O316" s="126">
        <v>122.38000000000001</v>
      </c>
      <c r="P316" s="170">
        <v>152.6</v>
      </c>
      <c r="Q316" s="128">
        <v>126.79999999999998</v>
      </c>
      <c r="R316" s="170">
        <v>179.3</v>
      </c>
      <c r="S316" s="174">
        <v>427</v>
      </c>
      <c r="T316" s="136">
        <v>228.53000000000003</v>
      </c>
      <c r="U316" s="136">
        <v>336.77</v>
      </c>
      <c r="V316" s="136">
        <v>357.39000000000004</v>
      </c>
      <c r="W316" s="145">
        <v>478.1</v>
      </c>
      <c r="X316" s="145">
        <v>623.29999999999995</v>
      </c>
      <c r="Y316" s="175">
        <v>656.62</v>
      </c>
      <c r="Z316" s="140"/>
      <c r="AA316" s="140"/>
      <c r="AB316" s="140"/>
      <c r="AC316" s="142">
        <v>82.72999999999999</v>
      </c>
      <c r="AD316" s="145">
        <v>115.6</v>
      </c>
      <c r="AE316" s="142">
        <v>96.97</v>
      </c>
      <c r="AF316" s="176">
        <v>127.1</v>
      </c>
      <c r="AG316" s="140"/>
      <c r="AH316" s="142">
        <v>90.75</v>
      </c>
      <c r="AI316" s="176">
        <v>100.3</v>
      </c>
      <c r="AJ316" s="140"/>
      <c r="AK316" s="142">
        <v>110</v>
      </c>
      <c r="AL316" s="181">
        <v>136.6</v>
      </c>
    </row>
    <row r="317" spans="1:38" x14ac:dyDescent="0.35">
      <c r="A317" s="130">
        <v>41852</v>
      </c>
      <c r="B317" s="135">
        <v>459.4</v>
      </c>
      <c r="C317" s="178"/>
      <c r="D317" s="135">
        <v>208.89999999999998</v>
      </c>
      <c r="E317" s="132">
        <v>216.76999999999998</v>
      </c>
      <c r="F317" s="132">
        <v>268.11</v>
      </c>
      <c r="G317" s="126">
        <v>155.08000000000001</v>
      </c>
      <c r="H317" s="127">
        <v>155.62</v>
      </c>
      <c r="I317" s="132">
        <v>200.5</v>
      </c>
      <c r="J317" s="127">
        <v>222.28</v>
      </c>
      <c r="K317" s="127">
        <v>228.46</v>
      </c>
      <c r="L317" s="132">
        <v>211.65</v>
      </c>
      <c r="M317" s="129">
        <v>109.97000000000001</v>
      </c>
      <c r="N317" s="143">
        <v>135.6</v>
      </c>
      <c r="O317" s="126">
        <v>121.95000000000002</v>
      </c>
      <c r="P317" s="170">
        <v>152.6</v>
      </c>
      <c r="Q317" s="128">
        <v>126.20999999999998</v>
      </c>
      <c r="R317" s="170">
        <v>179.3</v>
      </c>
      <c r="S317" s="174">
        <v>427</v>
      </c>
      <c r="T317" s="136">
        <v>228.71</v>
      </c>
      <c r="U317" s="136">
        <v>336.79999999999995</v>
      </c>
      <c r="V317" s="136">
        <v>357.17</v>
      </c>
      <c r="W317" s="145">
        <v>478.1</v>
      </c>
      <c r="X317" s="145">
        <v>623.29999999999995</v>
      </c>
      <c r="Y317" s="175">
        <v>656.62</v>
      </c>
      <c r="Z317" s="140"/>
      <c r="AA317" s="140"/>
      <c r="AB317" s="140"/>
      <c r="AC317" s="142">
        <v>82.739999999999981</v>
      </c>
      <c r="AD317" s="145">
        <v>115.6</v>
      </c>
      <c r="AE317" s="142">
        <v>96.88000000000001</v>
      </c>
      <c r="AF317" s="176">
        <v>127.1</v>
      </c>
      <c r="AG317" s="140"/>
      <c r="AH317" s="142">
        <v>91.35</v>
      </c>
      <c r="AI317" s="176">
        <v>100.3</v>
      </c>
      <c r="AJ317" s="140"/>
      <c r="AK317" s="142">
        <v>109.96</v>
      </c>
      <c r="AL317" s="181">
        <v>136.6</v>
      </c>
    </row>
    <row r="318" spans="1:38" x14ac:dyDescent="0.35">
      <c r="A318" s="130">
        <v>41883</v>
      </c>
      <c r="B318" s="135">
        <v>459.42</v>
      </c>
      <c r="C318" s="178"/>
      <c r="D318" s="135">
        <v>208.89</v>
      </c>
      <c r="E318" s="132">
        <v>216.7</v>
      </c>
      <c r="F318" s="132">
        <v>267.97000000000003</v>
      </c>
      <c r="G318" s="126">
        <v>155.01000000000002</v>
      </c>
      <c r="H318" s="127">
        <v>155.62</v>
      </c>
      <c r="I318" s="132">
        <v>205.27</v>
      </c>
      <c r="J318" s="127">
        <v>222.27</v>
      </c>
      <c r="K318" s="127">
        <v>228.12</v>
      </c>
      <c r="L318" s="132">
        <v>211.71</v>
      </c>
      <c r="M318" s="129">
        <v>109.91000000000001</v>
      </c>
      <c r="N318" s="143">
        <v>135.6</v>
      </c>
      <c r="O318" s="126">
        <v>121.86000000000001</v>
      </c>
      <c r="P318" s="170">
        <v>152.6</v>
      </c>
      <c r="Q318" s="128">
        <v>126.05999999999999</v>
      </c>
      <c r="R318" s="170">
        <v>179.3</v>
      </c>
      <c r="S318" s="174">
        <v>427</v>
      </c>
      <c r="T318" s="136">
        <v>228.91000000000003</v>
      </c>
      <c r="U318" s="136">
        <v>337</v>
      </c>
      <c r="V318" s="136">
        <v>357.23</v>
      </c>
      <c r="W318" s="145">
        <v>478.1</v>
      </c>
      <c r="X318" s="145">
        <v>623.29999999999995</v>
      </c>
      <c r="Y318" s="175">
        <v>656.62</v>
      </c>
      <c r="Z318" s="140"/>
      <c r="AA318" s="140"/>
      <c r="AB318" s="140"/>
      <c r="AC318" s="142">
        <v>82.66</v>
      </c>
      <c r="AD318" s="145">
        <v>115.6</v>
      </c>
      <c r="AE318" s="142">
        <v>96.81</v>
      </c>
      <c r="AF318" s="176">
        <v>127.1</v>
      </c>
      <c r="AG318" s="140"/>
      <c r="AH318" s="142">
        <v>91.169999999999987</v>
      </c>
      <c r="AI318" s="176">
        <v>100.3</v>
      </c>
      <c r="AJ318" s="140"/>
      <c r="AK318" s="142">
        <v>109.97</v>
      </c>
      <c r="AL318" s="181">
        <v>136.6</v>
      </c>
    </row>
    <row r="319" spans="1:38" x14ac:dyDescent="0.35">
      <c r="A319" s="130">
        <v>41913</v>
      </c>
      <c r="B319" s="135">
        <v>459.31</v>
      </c>
      <c r="C319" s="178"/>
      <c r="D319" s="135">
        <v>208.51</v>
      </c>
      <c r="E319" s="132">
        <v>216.28</v>
      </c>
      <c r="F319" s="132">
        <v>268.36</v>
      </c>
      <c r="G319" s="126">
        <v>154.94</v>
      </c>
      <c r="H319" s="127">
        <v>155.61000000000001</v>
      </c>
      <c r="I319" s="132">
        <v>200.5</v>
      </c>
      <c r="J319" s="127">
        <v>222.23000000000002</v>
      </c>
      <c r="K319" s="127">
        <v>227.62</v>
      </c>
      <c r="L319" s="132">
        <v>211.64000000000001</v>
      </c>
      <c r="M319" s="129">
        <v>109.77000000000001</v>
      </c>
      <c r="N319" s="143">
        <v>135.6</v>
      </c>
      <c r="O319" s="126">
        <v>121.49000000000001</v>
      </c>
      <c r="P319" s="170">
        <v>152.6</v>
      </c>
      <c r="Q319" s="128">
        <v>125.65999999999998</v>
      </c>
      <c r="R319" s="170">
        <v>179.3</v>
      </c>
      <c r="S319" s="174">
        <v>427</v>
      </c>
      <c r="T319" s="136">
        <v>228.66000000000003</v>
      </c>
      <c r="U319" s="136">
        <v>336.85999999999996</v>
      </c>
      <c r="V319" s="136">
        <v>357.24</v>
      </c>
      <c r="W319" s="145">
        <v>478.1</v>
      </c>
      <c r="X319" s="145">
        <v>623.29999999999995</v>
      </c>
      <c r="Y319" s="175">
        <v>656.62</v>
      </c>
      <c r="Z319" s="140"/>
      <c r="AA319" s="140"/>
      <c r="AB319" s="140"/>
      <c r="AC319" s="142">
        <v>82.469999999999985</v>
      </c>
      <c r="AD319" s="145">
        <v>115.6</v>
      </c>
      <c r="AE319" s="142">
        <v>96.63000000000001</v>
      </c>
      <c r="AF319" s="176">
        <v>127.1</v>
      </c>
      <c r="AG319" s="140"/>
      <c r="AH319" s="142">
        <v>91.36999999999999</v>
      </c>
      <c r="AI319" s="176">
        <v>100.3</v>
      </c>
      <c r="AJ319" s="140"/>
      <c r="AK319" s="142">
        <v>109.89999999999999</v>
      </c>
      <c r="AL319" s="181">
        <v>136.6</v>
      </c>
    </row>
    <row r="320" spans="1:38" x14ac:dyDescent="0.35">
      <c r="A320" s="130">
        <v>41944</v>
      </c>
      <c r="B320" s="135">
        <v>459.24</v>
      </c>
      <c r="C320" s="178"/>
      <c r="D320" s="135">
        <v>208.39999999999998</v>
      </c>
      <c r="E320" s="132">
        <v>216.26</v>
      </c>
      <c r="F320" s="132">
        <v>269.69</v>
      </c>
      <c r="G320" s="126">
        <v>154.89000000000001</v>
      </c>
      <c r="H320" s="127">
        <v>155.56</v>
      </c>
      <c r="I320" s="132">
        <v>200.5</v>
      </c>
      <c r="J320" s="127">
        <v>222.23000000000002</v>
      </c>
      <c r="K320" s="127">
        <v>227.54</v>
      </c>
      <c r="L320" s="132">
        <v>211.64000000000001</v>
      </c>
      <c r="M320" s="129">
        <v>109.65</v>
      </c>
      <c r="N320" s="143">
        <v>135.6</v>
      </c>
      <c r="O320" s="126">
        <v>121.28</v>
      </c>
      <c r="P320" s="170">
        <v>152.6</v>
      </c>
      <c r="Q320" s="128">
        <v>125.45999999999998</v>
      </c>
      <c r="R320" s="170">
        <v>179.3</v>
      </c>
      <c r="S320" s="174">
        <v>427</v>
      </c>
      <c r="T320" s="136">
        <v>228.28000000000003</v>
      </c>
      <c r="U320" s="136">
        <v>336.82</v>
      </c>
      <c r="V320" s="136">
        <v>356.91</v>
      </c>
      <c r="W320" s="145">
        <v>478.1</v>
      </c>
      <c r="X320" s="145">
        <v>623.29999999999995</v>
      </c>
      <c r="Y320" s="175">
        <v>656.62</v>
      </c>
      <c r="Z320" s="140"/>
      <c r="AA320" s="140"/>
      <c r="AB320" s="140"/>
      <c r="AC320" s="142">
        <v>82.309999999999988</v>
      </c>
      <c r="AD320" s="145">
        <v>115.6</v>
      </c>
      <c r="AE320" s="142">
        <v>96.510000000000019</v>
      </c>
      <c r="AF320" s="176">
        <v>127.1</v>
      </c>
      <c r="AG320" s="140"/>
      <c r="AH320" s="142">
        <v>91.149999999999991</v>
      </c>
      <c r="AI320" s="176">
        <v>100.3</v>
      </c>
      <c r="AJ320" s="140"/>
      <c r="AK320" s="142">
        <v>109.85</v>
      </c>
      <c r="AL320" s="181">
        <v>136.6</v>
      </c>
    </row>
    <row r="321" spans="1:38" x14ac:dyDescent="0.35">
      <c r="A321" s="130">
        <v>41974</v>
      </c>
      <c r="B321" s="135">
        <v>459.28</v>
      </c>
      <c r="C321" s="178"/>
      <c r="D321" s="135">
        <v>208.6</v>
      </c>
      <c r="E321" s="132">
        <v>216.42</v>
      </c>
      <c r="F321" s="132">
        <v>270.22000000000003</v>
      </c>
      <c r="G321" s="126">
        <v>160.15</v>
      </c>
      <c r="H321" s="127">
        <v>156.88</v>
      </c>
      <c r="I321" s="132">
        <v>213.3</v>
      </c>
      <c r="J321" s="127">
        <v>222.23000000000002</v>
      </c>
      <c r="K321" s="127">
        <v>227.52</v>
      </c>
      <c r="L321" s="132">
        <v>211.77</v>
      </c>
      <c r="M321" s="129">
        <v>109.54000000000002</v>
      </c>
      <c r="N321" s="135">
        <v>150.81</v>
      </c>
      <c r="O321" s="126">
        <v>121.12</v>
      </c>
      <c r="P321" s="170">
        <v>152.6</v>
      </c>
      <c r="Q321" s="128">
        <v>125.17999999999999</v>
      </c>
      <c r="R321" s="170">
        <v>179.3</v>
      </c>
      <c r="S321" s="174">
        <v>427</v>
      </c>
      <c r="T321" s="136">
        <v>227.92000000000002</v>
      </c>
      <c r="U321" s="136">
        <v>336.92999999999995</v>
      </c>
      <c r="V321" s="136">
        <v>357.33000000000004</v>
      </c>
      <c r="W321" s="145">
        <v>478.1</v>
      </c>
      <c r="X321" s="145">
        <v>623.29999999999995</v>
      </c>
      <c r="Y321" s="175">
        <v>656.62</v>
      </c>
      <c r="Z321" s="140"/>
      <c r="AA321" s="140"/>
      <c r="AB321" s="140"/>
      <c r="AC321" s="142">
        <v>82.429999999999978</v>
      </c>
      <c r="AD321" s="145">
        <v>115.6</v>
      </c>
      <c r="AE321" s="142">
        <v>96.610000000000014</v>
      </c>
      <c r="AF321" s="176">
        <v>127.1</v>
      </c>
      <c r="AG321" s="140"/>
      <c r="AH321" s="142">
        <v>91.22</v>
      </c>
      <c r="AI321" s="176">
        <v>100.3</v>
      </c>
      <c r="AJ321" s="140"/>
      <c r="AK321" s="142">
        <v>109.78</v>
      </c>
      <c r="AL321" s="181">
        <v>136.6</v>
      </c>
    </row>
    <row r="322" spans="1:38" x14ac:dyDescent="0.35">
      <c r="A322" s="130">
        <v>42005</v>
      </c>
      <c r="B322" s="135">
        <v>459.27</v>
      </c>
      <c r="C322" s="178"/>
      <c r="D322" s="135">
        <v>208.98999999999998</v>
      </c>
      <c r="E322" s="132">
        <v>217.07999999999998</v>
      </c>
      <c r="F322" s="132">
        <v>270.58000000000004</v>
      </c>
      <c r="G322" s="126">
        <v>162</v>
      </c>
      <c r="H322" s="127">
        <v>158.58000000000001</v>
      </c>
      <c r="I322" s="132">
        <v>212.3</v>
      </c>
      <c r="J322" s="127">
        <v>222.59</v>
      </c>
      <c r="K322" s="127">
        <v>227.55</v>
      </c>
      <c r="L322" s="132">
        <v>212.09</v>
      </c>
      <c r="M322" s="129">
        <v>109.76000000000002</v>
      </c>
      <c r="N322" s="135">
        <v>148.35000000000002</v>
      </c>
      <c r="O322" s="126">
        <v>120.91000000000001</v>
      </c>
      <c r="P322" s="170">
        <v>152.6</v>
      </c>
      <c r="Q322" s="128">
        <v>124.87999999999998</v>
      </c>
      <c r="R322" s="170">
        <v>179.3</v>
      </c>
      <c r="S322" s="174">
        <v>427</v>
      </c>
      <c r="T322" s="136">
        <v>228.11</v>
      </c>
      <c r="U322" s="136">
        <v>336.63</v>
      </c>
      <c r="V322" s="136">
        <v>357.20000000000005</v>
      </c>
      <c r="W322" s="145">
        <v>478.1</v>
      </c>
      <c r="X322" s="145">
        <v>623.29999999999995</v>
      </c>
      <c r="Y322" s="175">
        <v>656.62</v>
      </c>
      <c r="Z322" s="140"/>
      <c r="AA322" s="140"/>
      <c r="AB322" s="140"/>
      <c r="AC322" s="142">
        <v>82.469999999999985</v>
      </c>
      <c r="AD322" s="145">
        <v>115.6</v>
      </c>
      <c r="AE322" s="142">
        <v>96.62</v>
      </c>
      <c r="AF322" s="176">
        <v>127.1</v>
      </c>
      <c r="AG322" s="140"/>
      <c r="AH322" s="142">
        <v>91.44</v>
      </c>
      <c r="AI322" s="176">
        <v>100.3</v>
      </c>
      <c r="AJ322" s="140"/>
      <c r="AK322" s="142">
        <v>109.72999999999999</v>
      </c>
      <c r="AL322" s="181">
        <v>136.6</v>
      </c>
    </row>
    <row r="323" spans="1:38" x14ac:dyDescent="0.35">
      <c r="A323" s="130">
        <v>42036</v>
      </c>
      <c r="B323" s="135">
        <v>459.43</v>
      </c>
      <c r="C323" s="178"/>
      <c r="D323" s="135">
        <v>209.18</v>
      </c>
      <c r="E323" s="132">
        <v>217.20999999999998</v>
      </c>
      <c r="F323" s="132">
        <v>270.3</v>
      </c>
      <c r="G323" s="126">
        <v>157.4</v>
      </c>
      <c r="H323" s="127">
        <v>156.91000000000003</v>
      </c>
      <c r="I323" s="132">
        <v>205.27</v>
      </c>
      <c r="J323" s="127">
        <v>222.66</v>
      </c>
      <c r="K323" s="127">
        <v>228.54</v>
      </c>
      <c r="L323" s="132">
        <v>212.07</v>
      </c>
      <c r="M323" s="129">
        <v>109.63000000000001</v>
      </c>
      <c r="N323" s="135">
        <v>154.37</v>
      </c>
      <c r="O323" s="126">
        <v>120.82000000000001</v>
      </c>
      <c r="P323" s="170">
        <v>152.6</v>
      </c>
      <c r="Q323" s="128">
        <v>124.80999999999999</v>
      </c>
      <c r="R323" s="170">
        <v>179.3</v>
      </c>
      <c r="S323" s="174">
        <v>427</v>
      </c>
      <c r="T323" s="136">
        <v>228.62</v>
      </c>
      <c r="U323" s="136">
        <v>336.54999999999995</v>
      </c>
      <c r="V323" s="136">
        <v>356.99</v>
      </c>
      <c r="W323" s="145">
        <v>478.1</v>
      </c>
      <c r="X323" s="145">
        <v>623.29999999999995</v>
      </c>
      <c r="Y323" s="175">
        <v>656.62</v>
      </c>
      <c r="Z323" s="140"/>
      <c r="AA323" s="140"/>
      <c r="AB323" s="140"/>
      <c r="AC323" s="142">
        <v>82.359999999999985</v>
      </c>
      <c r="AD323" s="145">
        <v>115.6</v>
      </c>
      <c r="AE323" s="142">
        <v>95.79</v>
      </c>
      <c r="AF323" s="176">
        <v>127.1</v>
      </c>
      <c r="AG323" s="140"/>
      <c r="AH323" s="142">
        <v>91.47999999999999</v>
      </c>
      <c r="AI323" s="176">
        <v>100.3</v>
      </c>
      <c r="AJ323" s="140"/>
      <c r="AK323" s="142">
        <v>109.75</v>
      </c>
      <c r="AL323" s="181">
        <v>136.6</v>
      </c>
    </row>
    <row r="324" spans="1:38" x14ac:dyDescent="0.35">
      <c r="A324" s="130">
        <v>42064</v>
      </c>
      <c r="B324" s="135">
        <v>459.58</v>
      </c>
      <c r="C324" s="178"/>
      <c r="D324" s="135">
        <v>209.42</v>
      </c>
      <c r="E324" s="132">
        <v>217.49</v>
      </c>
      <c r="F324" s="132">
        <v>270.44</v>
      </c>
      <c r="G324" s="126">
        <v>159</v>
      </c>
      <c r="H324" s="127">
        <v>156.86000000000001</v>
      </c>
      <c r="I324" s="132">
        <v>211.3</v>
      </c>
      <c r="J324" s="127">
        <v>222.82</v>
      </c>
      <c r="K324" s="127">
        <v>227.38</v>
      </c>
      <c r="L324" s="132">
        <v>212.3</v>
      </c>
      <c r="M324" s="129">
        <v>109.34</v>
      </c>
      <c r="N324" s="135">
        <v>139.43</v>
      </c>
      <c r="O324" s="126">
        <v>120.75</v>
      </c>
      <c r="P324" s="170">
        <v>152.6</v>
      </c>
      <c r="Q324" s="128">
        <v>124.73999999999998</v>
      </c>
      <c r="R324" s="170">
        <v>179.3</v>
      </c>
      <c r="S324" s="166">
        <v>426.27</v>
      </c>
      <c r="T324" s="136">
        <v>228.90000000000003</v>
      </c>
      <c r="U324" s="136">
        <v>336.53</v>
      </c>
      <c r="V324" s="136">
        <v>356.67</v>
      </c>
      <c r="W324" s="145">
        <v>478.1</v>
      </c>
      <c r="X324" s="145">
        <v>623.29999999999995</v>
      </c>
      <c r="Y324" s="175">
        <v>656.62</v>
      </c>
      <c r="Z324" s="140"/>
      <c r="AA324" s="140"/>
      <c r="AB324" s="140"/>
      <c r="AC324" s="142">
        <v>82.329999999999984</v>
      </c>
      <c r="AD324" s="145">
        <v>115.6</v>
      </c>
      <c r="AE324" s="142">
        <v>96.47</v>
      </c>
      <c r="AF324" s="176">
        <v>127.1</v>
      </c>
      <c r="AG324" s="140"/>
      <c r="AH324" s="142">
        <v>91.27</v>
      </c>
      <c r="AI324" s="176">
        <v>100.3</v>
      </c>
      <c r="AJ324" s="140"/>
      <c r="AK324" s="142">
        <v>109.72</v>
      </c>
      <c r="AL324" s="181">
        <v>136.6</v>
      </c>
    </row>
    <row r="325" spans="1:38" x14ac:dyDescent="0.35">
      <c r="A325" s="130">
        <v>42095</v>
      </c>
      <c r="B325" s="135">
        <v>459.65999999999997</v>
      </c>
      <c r="C325" s="178"/>
      <c r="D325" s="135">
        <v>209.45</v>
      </c>
      <c r="E325" s="132">
        <v>217.35999999999999</v>
      </c>
      <c r="F325" s="132">
        <v>270.24</v>
      </c>
      <c r="G325" s="126">
        <v>156.60000000000002</v>
      </c>
      <c r="H325" s="127">
        <v>156.36000000000001</v>
      </c>
      <c r="I325" s="132">
        <v>213.3</v>
      </c>
      <c r="J325" s="127">
        <v>222.72</v>
      </c>
      <c r="K325" s="127">
        <v>227.56</v>
      </c>
      <c r="L325" s="132">
        <v>212.33</v>
      </c>
      <c r="M325" s="129">
        <v>109.03</v>
      </c>
      <c r="N325" s="143">
        <v>135.6</v>
      </c>
      <c r="O325" s="126">
        <v>120.71000000000001</v>
      </c>
      <c r="P325" s="170">
        <v>152.6</v>
      </c>
      <c r="Q325" s="128">
        <v>124.72999999999999</v>
      </c>
      <c r="R325" s="170">
        <v>179.3</v>
      </c>
      <c r="S325" s="166">
        <v>425.81</v>
      </c>
      <c r="T325" s="136">
        <v>229.34000000000003</v>
      </c>
      <c r="U325" s="136">
        <v>336.42999999999995</v>
      </c>
      <c r="V325" s="136">
        <v>356.73</v>
      </c>
      <c r="W325" s="145">
        <v>478.1</v>
      </c>
      <c r="X325" s="145">
        <v>623.29999999999995</v>
      </c>
      <c r="Y325" s="175">
        <v>656.62</v>
      </c>
      <c r="Z325" s="140"/>
      <c r="AA325" s="140"/>
      <c r="AB325" s="140"/>
      <c r="AC325" s="142">
        <v>82.219999999999985</v>
      </c>
      <c r="AD325" s="145">
        <v>115.6</v>
      </c>
      <c r="AE325" s="142">
        <v>96.420000000000016</v>
      </c>
      <c r="AF325" s="176">
        <v>127.1</v>
      </c>
      <c r="AG325" s="140"/>
      <c r="AH325" s="142">
        <v>91.419999999999987</v>
      </c>
      <c r="AI325" s="176">
        <v>100.3</v>
      </c>
      <c r="AJ325" s="140"/>
      <c r="AK325" s="142">
        <v>109.69999999999999</v>
      </c>
      <c r="AL325" s="181">
        <v>136.6</v>
      </c>
    </row>
    <row r="326" spans="1:38" x14ac:dyDescent="0.35">
      <c r="A326" s="130">
        <v>42125</v>
      </c>
      <c r="B326" s="135">
        <v>459.59000000000003</v>
      </c>
      <c r="C326" s="178"/>
      <c r="D326" s="135">
        <v>209.19</v>
      </c>
      <c r="E326" s="132">
        <v>217.14</v>
      </c>
      <c r="F326" s="132">
        <v>270.26</v>
      </c>
      <c r="G326" s="126">
        <v>157.10000000000002</v>
      </c>
      <c r="H326" s="127">
        <v>156.47000000000003</v>
      </c>
      <c r="I326" s="132">
        <v>211.51000000000002</v>
      </c>
      <c r="J326" s="127">
        <v>222.61</v>
      </c>
      <c r="K326" s="127">
        <v>227.53</v>
      </c>
      <c r="L326" s="132">
        <v>212.51000000000002</v>
      </c>
      <c r="M326" s="129">
        <v>108.91000000000001</v>
      </c>
      <c r="N326" s="143">
        <v>135.6</v>
      </c>
      <c r="O326" s="126">
        <v>120.61000000000001</v>
      </c>
      <c r="P326" s="170">
        <v>152.6</v>
      </c>
      <c r="Q326" s="128">
        <v>124.73999999999998</v>
      </c>
      <c r="R326" s="170">
        <v>179.3</v>
      </c>
      <c r="S326" s="174">
        <v>427</v>
      </c>
      <c r="T326" s="136">
        <v>229.43</v>
      </c>
      <c r="U326" s="136">
        <v>336.36999999999995</v>
      </c>
      <c r="V326" s="136">
        <v>356.86</v>
      </c>
      <c r="W326" s="145">
        <v>478.1</v>
      </c>
      <c r="X326" s="145">
        <v>623.29999999999995</v>
      </c>
      <c r="Y326" s="175">
        <v>656.62</v>
      </c>
      <c r="Z326" s="140"/>
      <c r="AA326" s="140"/>
      <c r="AB326" s="140"/>
      <c r="AC326" s="142">
        <v>82.1</v>
      </c>
      <c r="AD326" s="145">
        <v>115.6</v>
      </c>
      <c r="AE326" s="142">
        <v>96.37</v>
      </c>
      <c r="AF326" s="176">
        <v>127.1</v>
      </c>
      <c r="AG326" s="140"/>
      <c r="AH326" s="142">
        <v>91.31</v>
      </c>
      <c r="AI326" s="176">
        <v>100.3</v>
      </c>
      <c r="AJ326" s="140"/>
      <c r="AK326" s="142">
        <v>109.64</v>
      </c>
      <c r="AL326" s="181">
        <v>136.6</v>
      </c>
    </row>
    <row r="327" spans="1:38" x14ac:dyDescent="0.35">
      <c r="A327" s="130">
        <v>42156</v>
      </c>
      <c r="B327" s="135">
        <v>459.55</v>
      </c>
      <c r="C327" s="178"/>
      <c r="D327" s="135">
        <v>209.12</v>
      </c>
      <c r="E327" s="132">
        <v>216.91</v>
      </c>
      <c r="F327" s="132">
        <v>269.88</v>
      </c>
      <c r="G327" s="126">
        <v>156.20000000000002</v>
      </c>
      <c r="H327" s="127">
        <v>156.15</v>
      </c>
      <c r="I327" s="132">
        <v>204.18</v>
      </c>
      <c r="J327" s="127">
        <v>222.58</v>
      </c>
      <c r="K327" s="127">
        <v>227.58</v>
      </c>
      <c r="L327" s="132">
        <v>212.23000000000002</v>
      </c>
      <c r="M327" s="129">
        <v>108.87</v>
      </c>
      <c r="N327" s="143">
        <v>135.6</v>
      </c>
      <c r="O327" s="126">
        <v>120.54</v>
      </c>
      <c r="P327" s="170">
        <v>152.6</v>
      </c>
      <c r="Q327" s="128">
        <v>124.77999999999999</v>
      </c>
      <c r="R327" s="170">
        <v>179.3</v>
      </c>
      <c r="S327" s="174">
        <v>427</v>
      </c>
      <c r="T327" s="136">
        <v>229.65000000000003</v>
      </c>
      <c r="U327" s="136">
        <v>336.4</v>
      </c>
      <c r="V327" s="136">
        <v>356.66</v>
      </c>
      <c r="W327" s="145">
        <v>478.1</v>
      </c>
      <c r="X327" s="145">
        <v>623.29999999999995</v>
      </c>
      <c r="Y327" s="175">
        <v>656.62</v>
      </c>
      <c r="Z327" s="140"/>
      <c r="AA327" s="140"/>
      <c r="AB327" s="140"/>
      <c r="AC327" s="142">
        <v>81.999999999999986</v>
      </c>
      <c r="AD327" s="145">
        <v>115.6</v>
      </c>
      <c r="AE327" s="142">
        <v>96.28</v>
      </c>
      <c r="AF327" s="176">
        <v>127.1</v>
      </c>
      <c r="AG327" s="140"/>
      <c r="AH327" s="142">
        <v>91.289999999999992</v>
      </c>
      <c r="AI327" s="176">
        <v>100.3</v>
      </c>
      <c r="AJ327" s="140"/>
      <c r="AK327" s="142">
        <v>109.58999999999999</v>
      </c>
      <c r="AL327" s="181">
        <v>136.6</v>
      </c>
    </row>
    <row r="328" spans="1:38" x14ac:dyDescent="0.35">
      <c r="A328" s="130">
        <v>42186</v>
      </c>
      <c r="B328" s="135">
        <v>459.48</v>
      </c>
      <c r="C328" s="178"/>
      <c r="D328" s="135">
        <v>208.88</v>
      </c>
      <c r="E328" s="132">
        <v>216.74</v>
      </c>
      <c r="F328" s="132">
        <v>269.32</v>
      </c>
      <c r="G328" s="126">
        <v>156.44</v>
      </c>
      <c r="H328" s="127">
        <v>156.09</v>
      </c>
      <c r="I328" s="132">
        <v>212.47</v>
      </c>
      <c r="J328" s="127">
        <v>222.53</v>
      </c>
      <c r="K328" s="127">
        <v>227.54</v>
      </c>
      <c r="L328" s="132">
        <v>212.23000000000002</v>
      </c>
      <c r="M328" s="129">
        <v>108.87</v>
      </c>
      <c r="N328" s="143">
        <v>135.6</v>
      </c>
      <c r="O328" s="126">
        <v>120.4</v>
      </c>
      <c r="P328" s="170">
        <v>152.6</v>
      </c>
      <c r="Q328" s="128">
        <v>124.68999999999998</v>
      </c>
      <c r="R328" s="170">
        <v>179.3</v>
      </c>
      <c r="S328" s="174">
        <v>427</v>
      </c>
      <c r="T328" s="136">
        <v>229.91000000000003</v>
      </c>
      <c r="U328" s="136">
        <v>336.33</v>
      </c>
      <c r="V328" s="136">
        <v>356.53000000000003</v>
      </c>
      <c r="W328" s="145">
        <v>478.1</v>
      </c>
      <c r="X328" s="145">
        <v>623.29999999999995</v>
      </c>
      <c r="Y328" s="175">
        <v>656.62</v>
      </c>
      <c r="Z328" s="140"/>
      <c r="AA328" s="140"/>
      <c r="AB328" s="140"/>
      <c r="AC328" s="142">
        <v>81.929999999999978</v>
      </c>
      <c r="AD328" s="145">
        <v>115.6</v>
      </c>
      <c r="AE328" s="142">
        <v>96.200000000000017</v>
      </c>
      <c r="AF328" s="176">
        <v>127.1</v>
      </c>
      <c r="AG328" s="140"/>
      <c r="AH328" s="142">
        <v>91.34</v>
      </c>
      <c r="AI328" s="176">
        <v>100.3</v>
      </c>
      <c r="AJ328" s="140"/>
      <c r="AK328" s="142">
        <v>109.55</v>
      </c>
      <c r="AL328" s="181">
        <v>136.6</v>
      </c>
    </row>
    <row r="329" spans="1:38" x14ac:dyDescent="0.35">
      <c r="A329" s="130">
        <v>42217</v>
      </c>
      <c r="B329" s="135">
        <v>459.42</v>
      </c>
      <c r="C329" s="178"/>
      <c r="D329" s="135">
        <v>208.85</v>
      </c>
      <c r="E329" s="132">
        <v>216.76999999999998</v>
      </c>
      <c r="F329" s="132">
        <v>268.99</v>
      </c>
      <c r="G329" s="126">
        <v>156.39000000000001</v>
      </c>
      <c r="H329" s="127">
        <v>156.15</v>
      </c>
      <c r="I329" s="132">
        <v>212.79000000000002</v>
      </c>
      <c r="J329" s="127">
        <v>222.55</v>
      </c>
      <c r="K329" s="127">
        <v>227.64000000000001</v>
      </c>
      <c r="L329" s="132">
        <v>212.15</v>
      </c>
      <c r="M329" s="129">
        <v>108.79000000000002</v>
      </c>
      <c r="N329" s="143">
        <v>135.6</v>
      </c>
      <c r="O329" s="126">
        <v>120.29</v>
      </c>
      <c r="P329" s="170">
        <v>152.6</v>
      </c>
      <c r="Q329" s="128">
        <v>124.84999999999998</v>
      </c>
      <c r="R329" s="170">
        <v>179.3</v>
      </c>
      <c r="S329" s="174">
        <v>427</v>
      </c>
      <c r="T329" s="136">
        <v>229.96</v>
      </c>
      <c r="U329" s="136">
        <v>336.30999999999995</v>
      </c>
      <c r="V329" s="136">
        <v>356.8</v>
      </c>
      <c r="W329" s="145">
        <v>478.1</v>
      </c>
      <c r="X329" s="145">
        <v>623.29999999999995</v>
      </c>
      <c r="Y329" s="145">
        <v>657.43000000000006</v>
      </c>
      <c r="Z329" s="140"/>
      <c r="AA329" s="140"/>
      <c r="AB329" s="140"/>
      <c r="AC329" s="142">
        <v>81.789999999999992</v>
      </c>
      <c r="AD329" s="145">
        <v>115.6</v>
      </c>
      <c r="AE329" s="142">
        <v>96.070000000000007</v>
      </c>
      <c r="AF329" s="176">
        <v>127.1</v>
      </c>
      <c r="AG329" s="140"/>
      <c r="AH329" s="142">
        <v>91.109999999999985</v>
      </c>
      <c r="AI329" s="176">
        <v>100.3</v>
      </c>
      <c r="AJ329" s="140"/>
      <c r="AK329" s="142">
        <v>109.47</v>
      </c>
      <c r="AL329" s="181">
        <v>136.6</v>
      </c>
    </row>
    <row r="330" spans="1:38" x14ac:dyDescent="0.35">
      <c r="A330" s="130">
        <v>42248</v>
      </c>
      <c r="B330" s="135">
        <v>459.39</v>
      </c>
      <c r="C330" s="178"/>
      <c r="D330" s="135">
        <v>209.32</v>
      </c>
      <c r="E330" s="132">
        <v>217.44</v>
      </c>
      <c r="F330" s="132">
        <v>268.31</v>
      </c>
      <c r="G330" s="126">
        <v>156.29000000000002</v>
      </c>
      <c r="H330" s="127">
        <v>156.17000000000002</v>
      </c>
      <c r="I330" s="132">
        <v>211.05</v>
      </c>
      <c r="J330" s="127">
        <v>222.5</v>
      </c>
      <c r="K330" s="127">
        <v>227.54</v>
      </c>
      <c r="L330" s="132">
        <v>211.98000000000002</v>
      </c>
      <c r="M330" s="129">
        <v>108.73000000000002</v>
      </c>
      <c r="N330" s="143">
        <v>135.6</v>
      </c>
      <c r="O330" s="126">
        <v>120.24000000000001</v>
      </c>
      <c r="P330" s="170">
        <v>152.6</v>
      </c>
      <c r="Q330" s="128">
        <v>124.86999999999999</v>
      </c>
      <c r="R330" s="170">
        <v>179.3</v>
      </c>
      <c r="S330" s="174">
        <v>427</v>
      </c>
      <c r="T330" s="136">
        <v>230.04000000000002</v>
      </c>
      <c r="U330" s="136">
        <v>336.35999999999996</v>
      </c>
      <c r="V330" s="136">
        <v>356.84000000000003</v>
      </c>
      <c r="W330" s="145">
        <v>478.1</v>
      </c>
      <c r="X330" s="145">
        <v>623.29999999999995</v>
      </c>
      <c r="Y330" s="145">
        <v>657.57</v>
      </c>
      <c r="Z330" s="140"/>
      <c r="AA330" s="140"/>
      <c r="AB330" s="140"/>
      <c r="AC330" s="142">
        <v>81.779999999999987</v>
      </c>
      <c r="AD330" s="145">
        <v>115.6</v>
      </c>
      <c r="AE330" s="142">
        <v>96.03</v>
      </c>
      <c r="AF330" s="176">
        <v>127.1</v>
      </c>
      <c r="AG330" s="140"/>
      <c r="AH330" s="142">
        <v>91.1</v>
      </c>
      <c r="AI330" s="176">
        <v>100.3</v>
      </c>
      <c r="AJ330" s="140"/>
      <c r="AK330" s="142">
        <v>109.42999999999999</v>
      </c>
      <c r="AL330" s="181">
        <v>136.6</v>
      </c>
    </row>
    <row r="331" spans="1:38" x14ac:dyDescent="0.35">
      <c r="A331" s="130">
        <v>42278</v>
      </c>
      <c r="B331" s="135">
        <v>459.29</v>
      </c>
      <c r="C331" s="178"/>
      <c r="D331" s="135">
        <v>209.34</v>
      </c>
      <c r="E331" s="132">
        <v>217.29</v>
      </c>
      <c r="F331" s="132">
        <v>267.69</v>
      </c>
      <c r="G331" s="126">
        <v>155.77000000000001</v>
      </c>
      <c r="H331" s="127">
        <v>155.92000000000002</v>
      </c>
      <c r="I331" s="132">
        <v>210.53</v>
      </c>
      <c r="J331" s="127">
        <v>222.42000000000002</v>
      </c>
      <c r="K331" s="127">
        <v>227.51</v>
      </c>
      <c r="L331" s="132">
        <v>211.93</v>
      </c>
      <c r="M331" s="129">
        <v>108.70000000000002</v>
      </c>
      <c r="N331" s="143">
        <v>135.6</v>
      </c>
      <c r="O331" s="126">
        <v>120.02000000000001</v>
      </c>
      <c r="P331" s="170">
        <v>152.6</v>
      </c>
      <c r="Q331" s="128">
        <v>124.85999999999999</v>
      </c>
      <c r="R331" s="170">
        <v>179.3</v>
      </c>
      <c r="S331" s="174">
        <v>427</v>
      </c>
      <c r="T331" s="136">
        <v>229.56</v>
      </c>
      <c r="U331" s="136">
        <v>336.34</v>
      </c>
      <c r="V331" s="136">
        <v>356.53000000000003</v>
      </c>
      <c r="W331" s="145">
        <v>478.1</v>
      </c>
      <c r="X331" s="145">
        <v>623.29999999999995</v>
      </c>
      <c r="Y331" s="145">
        <v>657.90000000000009</v>
      </c>
      <c r="Z331" s="140"/>
      <c r="AA331" s="140"/>
      <c r="AB331" s="140"/>
      <c r="AC331" s="142">
        <v>81.639999999999986</v>
      </c>
      <c r="AD331" s="145">
        <v>115.6</v>
      </c>
      <c r="AE331" s="142">
        <v>95.88000000000001</v>
      </c>
      <c r="AF331" s="176">
        <v>127.1</v>
      </c>
      <c r="AG331" s="140"/>
      <c r="AH331" s="142">
        <v>91.22999999999999</v>
      </c>
      <c r="AI331" s="176">
        <v>100.3</v>
      </c>
      <c r="AJ331" s="140"/>
      <c r="AK331" s="142">
        <v>109.28999999999999</v>
      </c>
      <c r="AL331" s="181">
        <v>136.6</v>
      </c>
    </row>
    <row r="332" spans="1:38" x14ac:dyDescent="0.35">
      <c r="A332" s="130">
        <v>42309</v>
      </c>
      <c r="B332" s="135">
        <v>459.26</v>
      </c>
      <c r="C332" s="178"/>
      <c r="D332" s="135">
        <v>209.07</v>
      </c>
      <c r="E332" s="132">
        <v>216.88</v>
      </c>
      <c r="F332" s="132">
        <v>267.18</v>
      </c>
      <c r="G332" s="126">
        <v>155.48000000000002</v>
      </c>
      <c r="H332" s="127">
        <v>155.78</v>
      </c>
      <c r="I332" s="132">
        <v>201.38000000000002</v>
      </c>
      <c r="J332" s="127">
        <v>222.35000000000002</v>
      </c>
      <c r="K332" s="127">
        <v>227.51</v>
      </c>
      <c r="L332" s="132">
        <v>211.91</v>
      </c>
      <c r="M332" s="169">
        <v>107.5</v>
      </c>
      <c r="N332" s="143">
        <v>135.6</v>
      </c>
      <c r="O332" s="126">
        <v>119.93</v>
      </c>
      <c r="P332" s="170">
        <v>152.6</v>
      </c>
      <c r="Q332" s="128">
        <v>124.78999999999999</v>
      </c>
      <c r="R332" s="170">
        <v>179.3</v>
      </c>
      <c r="S332" s="174">
        <v>427</v>
      </c>
      <c r="T332" s="136">
        <v>229.33</v>
      </c>
      <c r="U332" s="136">
        <v>336.29999999999995</v>
      </c>
      <c r="V332" s="136">
        <v>356.51</v>
      </c>
      <c r="W332" s="145">
        <v>478.1</v>
      </c>
      <c r="X332" s="145">
        <v>623.29999999999995</v>
      </c>
      <c r="Y332" s="145">
        <v>657.32</v>
      </c>
      <c r="Z332" s="140"/>
      <c r="AA332" s="140"/>
      <c r="AB332" s="140"/>
      <c r="AC332" s="142">
        <v>81.589999999999989</v>
      </c>
      <c r="AD332" s="145">
        <v>115.6</v>
      </c>
      <c r="AE332" s="142">
        <v>95.800000000000011</v>
      </c>
      <c r="AF332" s="176">
        <v>127.1</v>
      </c>
      <c r="AG332" s="140"/>
      <c r="AH332" s="142">
        <v>91.06</v>
      </c>
      <c r="AI332" s="176">
        <v>100.3</v>
      </c>
      <c r="AJ332" s="140"/>
      <c r="AK332" s="142">
        <v>109.22999999999999</v>
      </c>
      <c r="AL332" s="181">
        <v>136.6</v>
      </c>
    </row>
    <row r="333" spans="1:38" x14ac:dyDescent="0.35">
      <c r="A333" s="130">
        <v>42339</v>
      </c>
      <c r="B333" s="135">
        <v>459.15</v>
      </c>
      <c r="C333" s="178"/>
      <c r="D333" s="135">
        <v>208.79</v>
      </c>
      <c r="E333" s="132">
        <v>216.57</v>
      </c>
      <c r="F333" s="132">
        <v>267.05</v>
      </c>
      <c r="G333" s="126">
        <v>155.33000000000001</v>
      </c>
      <c r="H333" s="127">
        <v>155.66000000000003</v>
      </c>
      <c r="I333" s="132">
        <v>210.16000000000003</v>
      </c>
      <c r="J333" s="127">
        <v>222.32</v>
      </c>
      <c r="K333" s="127">
        <v>227.51</v>
      </c>
      <c r="L333" s="132">
        <v>211.99</v>
      </c>
      <c r="M333" s="169">
        <v>107.5</v>
      </c>
      <c r="N333" s="143">
        <v>135.6</v>
      </c>
      <c r="O333" s="126">
        <v>119.88000000000001</v>
      </c>
      <c r="P333" s="170">
        <v>152.6</v>
      </c>
      <c r="Q333" s="128">
        <v>124.72999999999999</v>
      </c>
      <c r="R333" s="170">
        <v>179.3</v>
      </c>
      <c r="S333" s="174">
        <v>427</v>
      </c>
      <c r="T333" s="136">
        <v>229.01000000000002</v>
      </c>
      <c r="U333" s="136">
        <v>335.55999999999995</v>
      </c>
      <c r="V333" s="136">
        <v>356.44</v>
      </c>
      <c r="W333" s="145">
        <v>478.1</v>
      </c>
      <c r="X333" s="145">
        <v>623.29999999999995</v>
      </c>
      <c r="Y333" s="145">
        <v>657.42000000000007</v>
      </c>
      <c r="Z333" s="140"/>
      <c r="AA333" s="140"/>
      <c r="AB333" s="140"/>
      <c r="AC333" s="142">
        <v>81.45999999999998</v>
      </c>
      <c r="AD333" s="145">
        <v>115.6</v>
      </c>
      <c r="AE333" s="142">
        <v>95.700000000000017</v>
      </c>
      <c r="AF333" s="176">
        <v>127.1</v>
      </c>
      <c r="AG333" s="140"/>
      <c r="AH333" s="142">
        <v>90.829999999999984</v>
      </c>
      <c r="AI333" s="176">
        <v>100.3</v>
      </c>
      <c r="AJ333" s="140"/>
      <c r="AK333" s="142">
        <v>109.17</v>
      </c>
      <c r="AL333" s="181">
        <v>136.6</v>
      </c>
    </row>
    <row r="334" spans="1:38" x14ac:dyDescent="0.35">
      <c r="A334" s="130">
        <v>42370</v>
      </c>
      <c r="B334" s="135">
        <v>459.13</v>
      </c>
      <c r="C334" s="178"/>
      <c r="D334" s="135">
        <v>208.59</v>
      </c>
      <c r="E334" s="132">
        <v>216.39999999999998</v>
      </c>
      <c r="F334" s="132">
        <v>268.15000000000003</v>
      </c>
      <c r="G334" s="126">
        <v>155.88</v>
      </c>
      <c r="H334" s="127">
        <v>156.37</v>
      </c>
      <c r="I334" s="132">
        <v>211.33</v>
      </c>
      <c r="J334" s="127">
        <v>222.29000000000002</v>
      </c>
      <c r="K334" s="127">
        <v>227.65</v>
      </c>
      <c r="L334" s="132">
        <v>212.28</v>
      </c>
      <c r="M334" s="169">
        <v>107.5</v>
      </c>
      <c r="N334" s="143">
        <v>135.6</v>
      </c>
      <c r="O334" s="126">
        <v>119.84</v>
      </c>
      <c r="P334" s="170">
        <v>152.6</v>
      </c>
      <c r="Q334" s="128">
        <v>124.65999999999998</v>
      </c>
      <c r="R334" s="170">
        <v>179.3</v>
      </c>
      <c r="S334" s="174">
        <v>427</v>
      </c>
      <c r="T334" s="136">
        <v>228.32000000000002</v>
      </c>
      <c r="U334" s="136">
        <v>336.09</v>
      </c>
      <c r="V334" s="136">
        <v>356.36</v>
      </c>
      <c r="W334" s="145">
        <v>478.1</v>
      </c>
      <c r="X334" s="145">
        <v>623.29999999999995</v>
      </c>
      <c r="Y334" s="145">
        <v>658.49</v>
      </c>
      <c r="Z334" s="140"/>
      <c r="AA334" s="140"/>
      <c r="AB334" s="140"/>
      <c r="AC334" s="142">
        <v>81.469999999999985</v>
      </c>
      <c r="AD334" s="145">
        <v>115.6</v>
      </c>
      <c r="AE334" s="142">
        <v>95.77000000000001</v>
      </c>
      <c r="AF334" s="176">
        <v>127.1</v>
      </c>
      <c r="AG334" s="140"/>
      <c r="AH334" s="142">
        <v>91</v>
      </c>
      <c r="AI334" s="176">
        <v>100.3</v>
      </c>
      <c r="AJ334" s="140"/>
      <c r="AK334" s="142">
        <v>109.13</v>
      </c>
      <c r="AL334" s="181">
        <v>136.6</v>
      </c>
    </row>
    <row r="335" spans="1:38" x14ac:dyDescent="0.35">
      <c r="A335" s="130">
        <v>42401</v>
      </c>
      <c r="B335" s="135">
        <v>459.28</v>
      </c>
      <c r="C335" s="178"/>
      <c r="D335" s="135">
        <v>209.01999999999998</v>
      </c>
      <c r="E335" s="132">
        <v>216.79999999999998</v>
      </c>
      <c r="F335" s="132">
        <v>267.01</v>
      </c>
      <c r="G335" s="126">
        <v>155.92000000000002</v>
      </c>
      <c r="H335" s="127">
        <v>156.44</v>
      </c>
      <c r="I335" s="132">
        <v>212.8</v>
      </c>
      <c r="J335" s="127">
        <v>222.33</v>
      </c>
      <c r="K335" s="127">
        <v>227.61</v>
      </c>
      <c r="L335" s="132">
        <v>212.11</v>
      </c>
      <c r="M335" s="169">
        <v>107.5</v>
      </c>
      <c r="N335" s="143">
        <v>135.6</v>
      </c>
      <c r="O335" s="126">
        <v>119.80000000000001</v>
      </c>
      <c r="P335" s="170">
        <v>152.6</v>
      </c>
      <c r="Q335" s="128">
        <v>124.62999999999998</v>
      </c>
      <c r="R335" s="170">
        <v>179.3</v>
      </c>
      <c r="S335" s="174">
        <v>427</v>
      </c>
      <c r="T335" s="136">
        <v>228.67000000000002</v>
      </c>
      <c r="U335" s="136">
        <v>336.10999999999996</v>
      </c>
      <c r="V335" s="136">
        <v>356.83000000000004</v>
      </c>
      <c r="W335" s="145">
        <v>478.1</v>
      </c>
      <c r="X335" s="145">
        <v>623.29999999999995</v>
      </c>
      <c r="Y335" s="145">
        <v>658.38000000000011</v>
      </c>
      <c r="Z335" s="140"/>
      <c r="AA335" s="140"/>
      <c r="AB335" s="140"/>
      <c r="AC335" s="142">
        <v>81.519999999999982</v>
      </c>
      <c r="AD335" s="145">
        <v>115.6</v>
      </c>
      <c r="AE335" s="142">
        <v>95.68</v>
      </c>
      <c r="AF335" s="176">
        <v>127.1</v>
      </c>
      <c r="AG335" s="140"/>
      <c r="AH335" s="142">
        <v>90.929999999999993</v>
      </c>
      <c r="AI335" s="176">
        <v>100.3</v>
      </c>
      <c r="AJ335" s="140"/>
      <c r="AK335" s="142">
        <v>109.13</v>
      </c>
      <c r="AL335" s="181">
        <v>136.6</v>
      </c>
    </row>
    <row r="336" spans="1:38" x14ac:dyDescent="0.35">
      <c r="A336" s="130">
        <v>42430</v>
      </c>
      <c r="B336" s="135">
        <v>459.22</v>
      </c>
      <c r="C336" s="178"/>
      <c r="D336" s="135">
        <v>209.12</v>
      </c>
      <c r="E336" s="132">
        <v>216.88</v>
      </c>
      <c r="F336" s="132">
        <v>268.42</v>
      </c>
      <c r="G336" s="126">
        <v>156.69</v>
      </c>
      <c r="H336" s="127">
        <v>156.41000000000003</v>
      </c>
      <c r="I336" s="132">
        <v>211.20000000000002</v>
      </c>
      <c r="J336" s="127">
        <v>222.35000000000002</v>
      </c>
      <c r="K336" s="127">
        <v>227.65</v>
      </c>
      <c r="L336" s="132">
        <v>212.13</v>
      </c>
      <c r="M336" s="129">
        <v>108.65</v>
      </c>
      <c r="N336" s="143">
        <v>135.6</v>
      </c>
      <c r="O336" s="126">
        <v>119.71000000000001</v>
      </c>
      <c r="P336" s="170">
        <v>152.6</v>
      </c>
      <c r="Q336" s="128">
        <v>124.57</v>
      </c>
      <c r="R336" s="170">
        <v>179.3</v>
      </c>
      <c r="S336" s="174">
        <v>427</v>
      </c>
      <c r="T336" s="136">
        <v>228.45000000000002</v>
      </c>
      <c r="U336" s="136">
        <v>336.03</v>
      </c>
      <c r="V336" s="136">
        <v>356.54</v>
      </c>
      <c r="W336" s="145">
        <v>478.1</v>
      </c>
      <c r="X336" s="145">
        <v>623.29999999999995</v>
      </c>
      <c r="Y336" s="145">
        <v>657.73</v>
      </c>
      <c r="Z336" s="140"/>
      <c r="AA336" s="140"/>
      <c r="AB336" s="140"/>
      <c r="AC336" s="142">
        <v>81.489999999999981</v>
      </c>
      <c r="AD336" s="145">
        <v>115.6</v>
      </c>
      <c r="AE336" s="142">
        <v>95.670000000000016</v>
      </c>
      <c r="AF336" s="176">
        <v>127.1</v>
      </c>
      <c r="AG336" s="140"/>
      <c r="AH336" s="142">
        <v>90.96</v>
      </c>
      <c r="AI336" s="176">
        <v>100.3</v>
      </c>
      <c r="AJ336" s="140"/>
      <c r="AK336" s="142">
        <v>109.08999999999999</v>
      </c>
      <c r="AL336" s="181">
        <v>136.6</v>
      </c>
    </row>
    <row r="337" spans="1:38" x14ac:dyDescent="0.35">
      <c r="A337" s="130">
        <v>42461</v>
      </c>
      <c r="B337" s="135">
        <v>459.25</v>
      </c>
      <c r="C337" s="178"/>
      <c r="D337" s="135">
        <v>209.22</v>
      </c>
      <c r="E337" s="132">
        <v>217.04999999999998</v>
      </c>
      <c r="F337" s="132">
        <v>267.90000000000003</v>
      </c>
      <c r="G337" s="126">
        <v>155.89000000000001</v>
      </c>
      <c r="H337" s="127">
        <v>156.01000000000002</v>
      </c>
      <c r="I337" s="132">
        <v>204.54000000000002</v>
      </c>
      <c r="J337" s="127">
        <v>222.31</v>
      </c>
      <c r="K337" s="127">
        <v>227.56</v>
      </c>
      <c r="L337" s="132">
        <v>212.15</v>
      </c>
      <c r="M337" s="129">
        <v>108.65</v>
      </c>
      <c r="N337" s="143">
        <v>135.6</v>
      </c>
      <c r="O337" s="126">
        <v>119.70000000000002</v>
      </c>
      <c r="P337" s="170">
        <v>152.6</v>
      </c>
      <c r="Q337" s="128">
        <v>124.52999999999999</v>
      </c>
      <c r="R337" s="170">
        <v>179.3</v>
      </c>
      <c r="S337" s="174">
        <v>427</v>
      </c>
      <c r="T337" s="136">
        <v>228.37</v>
      </c>
      <c r="U337" s="136">
        <v>335.92999999999995</v>
      </c>
      <c r="V337" s="136">
        <v>356.43</v>
      </c>
      <c r="W337" s="145">
        <v>478.1</v>
      </c>
      <c r="X337" s="145">
        <v>623.29999999999995</v>
      </c>
      <c r="Y337" s="145">
        <v>657.67000000000007</v>
      </c>
      <c r="Z337" s="140"/>
      <c r="AA337" s="140"/>
      <c r="AB337" s="140"/>
      <c r="AC337" s="142">
        <v>81.319999999999993</v>
      </c>
      <c r="AD337" s="145">
        <v>115.6</v>
      </c>
      <c r="AE337" s="142">
        <v>95.570000000000007</v>
      </c>
      <c r="AF337" s="176">
        <v>127.1</v>
      </c>
      <c r="AG337" s="140"/>
      <c r="AH337" s="142">
        <v>90.669999999999987</v>
      </c>
      <c r="AI337" s="176">
        <v>100.3</v>
      </c>
      <c r="AJ337" s="140"/>
      <c r="AK337" s="142">
        <v>109.03999999999999</v>
      </c>
      <c r="AL337" s="181">
        <v>136.6</v>
      </c>
    </row>
    <row r="338" spans="1:38" x14ac:dyDescent="0.35">
      <c r="A338" s="130">
        <v>42491</v>
      </c>
      <c r="B338" s="135">
        <v>459.26</v>
      </c>
      <c r="C338" s="178"/>
      <c r="D338" s="135">
        <v>209.14999999999998</v>
      </c>
      <c r="E338" s="132">
        <v>216.89999999999998</v>
      </c>
      <c r="F338" s="132">
        <v>267.47000000000003</v>
      </c>
      <c r="G338" s="126">
        <v>155.9</v>
      </c>
      <c r="H338" s="127">
        <v>156.32</v>
      </c>
      <c r="I338" s="132">
        <v>213.25</v>
      </c>
      <c r="J338" s="127">
        <v>222.29000000000002</v>
      </c>
      <c r="K338" s="127">
        <v>227.46</v>
      </c>
      <c r="L338" s="132">
        <v>212.53</v>
      </c>
      <c r="M338" s="129">
        <v>108.69000000000001</v>
      </c>
      <c r="N338" s="143">
        <v>135.6</v>
      </c>
      <c r="O338" s="126">
        <v>119.58000000000001</v>
      </c>
      <c r="P338" s="170">
        <v>152.6</v>
      </c>
      <c r="Q338" s="128">
        <v>124.40999999999998</v>
      </c>
      <c r="R338" s="170">
        <v>179.3</v>
      </c>
      <c r="S338" s="174">
        <v>427</v>
      </c>
      <c r="T338" s="136">
        <v>228.06</v>
      </c>
      <c r="U338" s="136">
        <v>335.83</v>
      </c>
      <c r="V338" s="136">
        <v>356.44</v>
      </c>
      <c r="W338" s="145">
        <v>478.1</v>
      </c>
      <c r="X338" s="145">
        <v>623.29999999999995</v>
      </c>
      <c r="Y338" s="145">
        <v>657.96</v>
      </c>
      <c r="Z338" s="140"/>
      <c r="AA338" s="140"/>
      <c r="AB338" s="140"/>
      <c r="AC338" s="142">
        <v>81.259999999999991</v>
      </c>
      <c r="AD338" s="145">
        <v>115.6</v>
      </c>
      <c r="AE338" s="142">
        <v>95.47</v>
      </c>
      <c r="AF338" s="176">
        <v>127.1</v>
      </c>
      <c r="AG338" s="140"/>
      <c r="AH338" s="142">
        <v>90.78</v>
      </c>
      <c r="AI338" s="176">
        <v>100.3</v>
      </c>
      <c r="AJ338" s="140"/>
      <c r="AK338" s="142">
        <v>108.97</v>
      </c>
      <c r="AL338" s="181">
        <v>136.6</v>
      </c>
    </row>
    <row r="339" spans="1:38" x14ac:dyDescent="0.35">
      <c r="A339" s="130">
        <v>42522</v>
      </c>
      <c r="B339" s="135">
        <v>459.27</v>
      </c>
      <c r="C339" s="178"/>
      <c r="D339" s="135">
        <v>208.92</v>
      </c>
      <c r="E339" s="132">
        <v>216.57</v>
      </c>
      <c r="F339" s="132">
        <v>267.13</v>
      </c>
      <c r="G339" s="126">
        <v>155.84</v>
      </c>
      <c r="H339" s="127">
        <v>155.95000000000002</v>
      </c>
      <c r="I339" s="132">
        <v>211.46</v>
      </c>
      <c r="J339" s="127">
        <v>222.26000000000002</v>
      </c>
      <c r="K339" s="127">
        <v>227.52</v>
      </c>
      <c r="L339" s="132">
        <v>212.17000000000002</v>
      </c>
      <c r="M339" s="169">
        <v>107.5</v>
      </c>
      <c r="N339" s="143">
        <v>135.6</v>
      </c>
      <c r="O339" s="126">
        <v>119.43</v>
      </c>
      <c r="P339" s="170">
        <v>152.6</v>
      </c>
      <c r="Q339" s="128">
        <v>124.30999999999999</v>
      </c>
      <c r="R339" s="170">
        <v>179.3</v>
      </c>
      <c r="S339" s="174">
        <v>427</v>
      </c>
      <c r="T339" s="136">
        <v>228.14000000000001</v>
      </c>
      <c r="U339" s="136">
        <v>335.78999999999996</v>
      </c>
      <c r="V339" s="136">
        <v>356.41</v>
      </c>
      <c r="W339" s="145">
        <v>478.1</v>
      </c>
      <c r="X339" s="145">
        <v>623.29999999999995</v>
      </c>
      <c r="Y339" s="145">
        <v>657.86</v>
      </c>
      <c r="Z339" s="140"/>
      <c r="AA339" s="140"/>
      <c r="AB339" s="140"/>
      <c r="AC339" s="142">
        <v>81.239999999999981</v>
      </c>
      <c r="AD339" s="145">
        <v>115.6</v>
      </c>
      <c r="AE339" s="142">
        <v>95.38000000000001</v>
      </c>
      <c r="AF339" s="176">
        <v>127.1</v>
      </c>
      <c r="AG339" s="140"/>
      <c r="AH339" s="142">
        <v>90.69</v>
      </c>
      <c r="AI339" s="176">
        <v>100.3</v>
      </c>
      <c r="AJ339" s="140"/>
      <c r="AK339" s="142">
        <v>108.89999999999999</v>
      </c>
      <c r="AL339" s="181">
        <v>136.6</v>
      </c>
    </row>
    <row r="340" spans="1:38" x14ac:dyDescent="0.35">
      <c r="A340" s="130">
        <v>42552</v>
      </c>
      <c r="B340" s="135">
        <v>459.27</v>
      </c>
      <c r="C340" s="178"/>
      <c r="D340" s="135">
        <v>208.81</v>
      </c>
      <c r="E340" s="132">
        <v>216.38</v>
      </c>
      <c r="F340" s="132">
        <v>266.74</v>
      </c>
      <c r="G340" s="126">
        <v>155.54000000000002</v>
      </c>
      <c r="H340" s="127">
        <v>155.73000000000002</v>
      </c>
      <c r="I340" s="132">
        <v>201.79000000000002</v>
      </c>
      <c r="J340" s="127">
        <v>222.26000000000002</v>
      </c>
      <c r="K340" s="127">
        <v>227.46</v>
      </c>
      <c r="L340" s="132">
        <v>211.99</v>
      </c>
      <c r="M340" s="129">
        <v>108.67000000000002</v>
      </c>
      <c r="N340" s="143">
        <v>135.6</v>
      </c>
      <c r="O340" s="126">
        <v>119.33000000000001</v>
      </c>
      <c r="P340" s="170">
        <v>152.6</v>
      </c>
      <c r="Q340" s="128">
        <v>124.22999999999999</v>
      </c>
      <c r="R340" s="170">
        <v>179.3</v>
      </c>
      <c r="S340" s="174">
        <v>427</v>
      </c>
      <c r="T340" s="136">
        <v>228.16000000000003</v>
      </c>
      <c r="U340" s="136">
        <v>335.71999999999997</v>
      </c>
      <c r="V340" s="136">
        <v>356.17</v>
      </c>
      <c r="W340" s="145">
        <v>478.1</v>
      </c>
      <c r="X340" s="145">
        <v>623.29999999999995</v>
      </c>
      <c r="Y340" s="145">
        <v>657.95</v>
      </c>
      <c r="Z340" s="140"/>
      <c r="AA340" s="140"/>
      <c r="AB340" s="140"/>
      <c r="AC340" s="142">
        <v>81.16</v>
      </c>
      <c r="AD340" s="145">
        <v>115.6</v>
      </c>
      <c r="AE340" s="142">
        <v>95.300000000000011</v>
      </c>
      <c r="AF340" s="176">
        <v>127.1</v>
      </c>
      <c r="AG340" s="140"/>
      <c r="AH340" s="142">
        <v>90.46</v>
      </c>
      <c r="AI340" s="176">
        <v>100.3</v>
      </c>
      <c r="AJ340" s="140"/>
      <c r="AK340" s="142">
        <v>108.85</v>
      </c>
      <c r="AL340" s="181">
        <v>136.6</v>
      </c>
    </row>
    <row r="341" spans="1:38" x14ac:dyDescent="0.35">
      <c r="A341" s="130">
        <v>42583</v>
      </c>
      <c r="B341" s="135">
        <v>459.23</v>
      </c>
      <c r="C341" s="178"/>
      <c r="D341" s="135">
        <v>208.70999999999998</v>
      </c>
      <c r="E341" s="132">
        <v>216.24</v>
      </c>
      <c r="F341" s="132">
        <v>266.33000000000004</v>
      </c>
      <c r="G341" s="126">
        <v>158.36000000000001</v>
      </c>
      <c r="H341" s="127">
        <v>156.41000000000003</v>
      </c>
      <c r="I341" s="132">
        <v>200.5</v>
      </c>
      <c r="J341" s="127">
        <v>222.24</v>
      </c>
      <c r="K341" s="127">
        <v>227.45</v>
      </c>
      <c r="L341" s="132">
        <v>211.91</v>
      </c>
      <c r="M341" s="129">
        <v>108.64000000000001</v>
      </c>
      <c r="N341" s="143">
        <v>135.6</v>
      </c>
      <c r="O341" s="126">
        <v>119.21000000000001</v>
      </c>
      <c r="P341" s="170">
        <v>152.6</v>
      </c>
      <c r="Q341" s="128">
        <v>124.22999999999999</v>
      </c>
      <c r="R341" s="170">
        <v>179.3</v>
      </c>
      <c r="S341" s="174">
        <v>427</v>
      </c>
      <c r="T341" s="136">
        <v>228.17000000000002</v>
      </c>
      <c r="U341" s="136">
        <v>335.75</v>
      </c>
      <c r="V341" s="136">
        <v>356.20000000000005</v>
      </c>
      <c r="W341" s="145">
        <v>478.1</v>
      </c>
      <c r="X341" s="145">
        <v>623.29999999999995</v>
      </c>
      <c r="Y341" s="145">
        <v>658.09</v>
      </c>
      <c r="Z341" s="140"/>
      <c r="AA341" s="140"/>
      <c r="AB341" s="140"/>
      <c r="AC341" s="142">
        <v>81.039999999999992</v>
      </c>
      <c r="AD341" s="145">
        <v>115.6</v>
      </c>
      <c r="AE341" s="142">
        <v>95.200000000000017</v>
      </c>
      <c r="AF341" s="176">
        <v>127.1</v>
      </c>
      <c r="AG341" s="140"/>
      <c r="AH341" s="142">
        <v>90.389999999999986</v>
      </c>
      <c r="AI341" s="176">
        <v>100.3</v>
      </c>
      <c r="AJ341" s="140"/>
      <c r="AK341" s="142">
        <v>108.75</v>
      </c>
      <c r="AL341" s="181">
        <v>136.6</v>
      </c>
    </row>
    <row r="342" spans="1:38" x14ac:dyDescent="0.35">
      <c r="A342" s="130">
        <v>42614</v>
      </c>
      <c r="B342" s="135">
        <v>459.15</v>
      </c>
      <c r="C342" s="178"/>
      <c r="D342" s="135">
        <v>208.47</v>
      </c>
      <c r="E342" s="132">
        <v>215.94</v>
      </c>
      <c r="F342" s="132">
        <v>266.07</v>
      </c>
      <c r="G342" s="126">
        <v>156.47000000000003</v>
      </c>
      <c r="H342" s="127">
        <v>156.28</v>
      </c>
      <c r="I342" s="132">
        <v>200.5</v>
      </c>
      <c r="J342" s="127">
        <v>222.31</v>
      </c>
      <c r="K342" s="127">
        <v>227.47</v>
      </c>
      <c r="L342" s="132">
        <v>211.83</v>
      </c>
      <c r="M342" s="169">
        <v>107.5</v>
      </c>
      <c r="N342" s="143">
        <v>135.6</v>
      </c>
      <c r="O342" s="126">
        <v>119.01000000000002</v>
      </c>
      <c r="P342" s="170">
        <v>152.6</v>
      </c>
      <c r="Q342" s="128">
        <v>124.21999999999998</v>
      </c>
      <c r="R342" s="170">
        <v>179.3</v>
      </c>
      <c r="S342" s="174">
        <v>427</v>
      </c>
      <c r="T342" s="136">
        <v>227.92000000000002</v>
      </c>
      <c r="U342" s="136">
        <v>335.71999999999997</v>
      </c>
      <c r="V342" s="136">
        <v>356.38</v>
      </c>
      <c r="W342" s="145">
        <v>478.1</v>
      </c>
      <c r="X342" s="145">
        <v>623.29999999999995</v>
      </c>
      <c r="Y342" s="145">
        <v>657.8900000000001</v>
      </c>
      <c r="Z342" s="140"/>
      <c r="AA342" s="140"/>
      <c r="AB342" s="140"/>
      <c r="AC342" s="142">
        <v>80.969999999999985</v>
      </c>
      <c r="AD342" s="145">
        <v>115.6</v>
      </c>
      <c r="AE342" s="142">
        <v>95.110000000000014</v>
      </c>
      <c r="AF342" s="176">
        <v>127.1</v>
      </c>
      <c r="AG342" s="140"/>
      <c r="AH342" s="142">
        <v>90.36999999999999</v>
      </c>
      <c r="AI342" s="176">
        <v>100.3</v>
      </c>
      <c r="AJ342" s="140"/>
      <c r="AK342" s="142">
        <v>108.64999999999999</v>
      </c>
      <c r="AL342" s="181">
        <v>136.6</v>
      </c>
    </row>
    <row r="343" spans="1:38" x14ac:dyDescent="0.35">
      <c r="A343" s="130">
        <v>42644</v>
      </c>
      <c r="B343" s="135">
        <v>459.11</v>
      </c>
      <c r="C343" s="178"/>
      <c r="D343" s="135">
        <v>208.22</v>
      </c>
      <c r="E343" s="132">
        <v>215.70999999999998</v>
      </c>
      <c r="F343" s="132">
        <v>265.83000000000004</v>
      </c>
      <c r="G343" s="126">
        <v>155.68</v>
      </c>
      <c r="H343" s="127">
        <v>155.84</v>
      </c>
      <c r="I343" s="132">
        <v>202.91000000000003</v>
      </c>
      <c r="J343" s="127">
        <v>222.33</v>
      </c>
      <c r="K343" s="127">
        <v>227.44</v>
      </c>
      <c r="L343" s="132">
        <v>211.74</v>
      </c>
      <c r="M343" s="169">
        <v>107.5</v>
      </c>
      <c r="N343" s="143">
        <v>135.6</v>
      </c>
      <c r="O343" s="126">
        <v>118.9</v>
      </c>
      <c r="P343" s="170">
        <v>152.6</v>
      </c>
      <c r="Q343" s="128">
        <v>124.07</v>
      </c>
      <c r="R343" s="170">
        <v>179.3</v>
      </c>
      <c r="S343" s="174">
        <v>427</v>
      </c>
      <c r="T343" s="136">
        <v>227.67000000000002</v>
      </c>
      <c r="U343" s="136">
        <v>335.77</v>
      </c>
      <c r="V343" s="136">
        <v>356.87</v>
      </c>
      <c r="W343" s="145">
        <v>478.1</v>
      </c>
      <c r="X343" s="145">
        <v>623.29999999999995</v>
      </c>
      <c r="Y343" s="145">
        <v>657.92000000000007</v>
      </c>
      <c r="Z343" s="140"/>
      <c r="AA343" s="140"/>
      <c r="AB343" s="140"/>
      <c r="AC343" s="142">
        <v>80.889999999999986</v>
      </c>
      <c r="AD343" s="145">
        <v>115.6</v>
      </c>
      <c r="AE343" s="142">
        <v>95.010000000000019</v>
      </c>
      <c r="AF343" s="176">
        <v>127.1</v>
      </c>
      <c r="AG343" s="140"/>
      <c r="AH343" s="142">
        <v>90.28</v>
      </c>
      <c r="AI343" s="176">
        <v>100.3</v>
      </c>
      <c r="AJ343" s="140"/>
      <c r="AK343" s="142">
        <v>108.50999999999999</v>
      </c>
      <c r="AL343" s="181">
        <v>136.6</v>
      </c>
    </row>
    <row r="344" spans="1:38" x14ac:dyDescent="0.35">
      <c r="A344" s="130">
        <v>42675</v>
      </c>
      <c r="B344" s="135">
        <v>459.12</v>
      </c>
      <c r="C344" s="178"/>
      <c r="D344" s="135">
        <v>208.14</v>
      </c>
      <c r="E344" s="132">
        <v>215.57</v>
      </c>
      <c r="F344" s="132">
        <v>265.72000000000003</v>
      </c>
      <c r="G344" s="126">
        <v>155.30000000000001</v>
      </c>
      <c r="H344" s="127">
        <v>155.64000000000001</v>
      </c>
      <c r="I344" s="132">
        <v>200.5</v>
      </c>
      <c r="J344" s="127">
        <v>222.34</v>
      </c>
      <c r="K344" s="127">
        <v>227.54</v>
      </c>
      <c r="L344" s="132">
        <v>211.68</v>
      </c>
      <c r="M344" s="169">
        <v>107.5</v>
      </c>
      <c r="N344" s="143">
        <v>135.6</v>
      </c>
      <c r="O344" s="126">
        <v>118.84</v>
      </c>
      <c r="P344" s="170">
        <v>152.6</v>
      </c>
      <c r="Q344" s="128">
        <v>123.93999999999998</v>
      </c>
      <c r="R344" s="170">
        <v>179.3</v>
      </c>
      <c r="S344" s="174">
        <v>427</v>
      </c>
      <c r="T344" s="136">
        <v>227.21</v>
      </c>
      <c r="U344" s="136">
        <v>335.76</v>
      </c>
      <c r="V344" s="136">
        <v>356.31</v>
      </c>
      <c r="W344" s="145">
        <v>478.1</v>
      </c>
      <c r="X344" s="145">
        <v>623.29999999999995</v>
      </c>
      <c r="Y344" s="145">
        <v>657.91000000000008</v>
      </c>
      <c r="Z344" s="140"/>
      <c r="AA344" s="140"/>
      <c r="AB344" s="140"/>
      <c r="AC344" s="142">
        <v>80.969999999999985</v>
      </c>
      <c r="AD344" s="145">
        <v>115.6</v>
      </c>
      <c r="AE344" s="142">
        <v>94.940000000000012</v>
      </c>
      <c r="AF344" s="176">
        <v>127.1</v>
      </c>
      <c r="AG344" s="140"/>
      <c r="AH344" s="142">
        <v>90.25</v>
      </c>
      <c r="AI344" s="176">
        <v>100.3</v>
      </c>
      <c r="AJ344" s="140"/>
      <c r="AK344" s="142">
        <v>108.47999999999999</v>
      </c>
      <c r="AL344" s="181">
        <v>136.6</v>
      </c>
    </row>
    <row r="345" spans="1:38" x14ac:dyDescent="0.35">
      <c r="A345" s="130">
        <v>42705</v>
      </c>
      <c r="B345" s="135">
        <v>459.07</v>
      </c>
      <c r="C345" s="178"/>
      <c r="D345" s="135">
        <v>208.04</v>
      </c>
      <c r="E345" s="132">
        <v>215.54999999999998</v>
      </c>
      <c r="F345" s="132">
        <v>265.09000000000003</v>
      </c>
      <c r="G345" s="126">
        <v>155.07000000000002</v>
      </c>
      <c r="H345" s="127">
        <v>155.46</v>
      </c>
      <c r="I345" s="132">
        <v>200.5</v>
      </c>
      <c r="J345" s="127">
        <v>222.33</v>
      </c>
      <c r="K345" s="127">
        <v>227.43</v>
      </c>
      <c r="L345" s="132">
        <v>211.65</v>
      </c>
      <c r="M345" s="169">
        <v>107.5</v>
      </c>
      <c r="N345" s="143">
        <v>135.6</v>
      </c>
      <c r="O345" s="126">
        <v>118.81</v>
      </c>
      <c r="P345" s="170">
        <v>152.6</v>
      </c>
      <c r="Q345" s="128">
        <v>123.87999999999998</v>
      </c>
      <c r="R345" s="170">
        <v>179.3</v>
      </c>
      <c r="S345" s="174">
        <v>427</v>
      </c>
      <c r="T345" s="136">
        <v>227.49</v>
      </c>
      <c r="U345" s="136">
        <v>335.66999999999996</v>
      </c>
      <c r="V345" s="136">
        <v>356.52000000000004</v>
      </c>
      <c r="W345" s="145">
        <v>478.1</v>
      </c>
      <c r="X345" s="145">
        <v>623.29999999999995</v>
      </c>
      <c r="Y345" s="145">
        <v>657.6</v>
      </c>
      <c r="Z345" s="140"/>
      <c r="AA345" s="140"/>
      <c r="AB345" s="140"/>
      <c r="AC345" s="142">
        <v>80.779999999999987</v>
      </c>
      <c r="AD345" s="145">
        <v>115.6</v>
      </c>
      <c r="AE345" s="142">
        <v>94.88000000000001</v>
      </c>
      <c r="AF345" s="176">
        <v>127.1</v>
      </c>
      <c r="AG345" s="140"/>
      <c r="AH345" s="142">
        <v>90.259999999999991</v>
      </c>
      <c r="AI345" s="176">
        <v>100.3</v>
      </c>
      <c r="AJ345" s="140"/>
      <c r="AK345" s="142">
        <v>108.38</v>
      </c>
      <c r="AL345" s="181">
        <v>136.6</v>
      </c>
    </row>
    <row r="346" spans="1:38" x14ac:dyDescent="0.35">
      <c r="A346" s="130">
        <v>42736</v>
      </c>
      <c r="B346" s="135">
        <v>459.08</v>
      </c>
      <c r="C346" s="178"/>
      <c r="D346" s="135">
        <v>209.23</v>
      </c>
      <c r="E346" s="132">
        <v>217.66</v>
      </c>
      <c r="F346" s="132">
        <v>272.59000000000003</v>
      </c>
      <c r="G346" s="126">
        <v>169.66000000000003</v>
      </c>
      <c r="H346" s="127">
        <v>160.91000000000003</v>
      </c>
      <c r="I346" s="132">
        <v>213.3</v>
      </c>
      <c r="J346" s="127">
        <v>223.69</v>
      </c>
      <c r="K346" s="127">
        <v>227.68</v>
      </c>
      <c r="L346" s="132">
        <v>214.03</v>
      </c>
      <c r="M346" s="129">
        <v>108.72000000000001</v>
      </c>
      <c r="N346" s="135">
        <v>154.31</v>
      </c>
      <c r="O346" s="126">
        <v>119.14000000000001</v>
      </c>
      <c r="P346" s="170">
        <v>152.6</v>
      </c>
      <c r="Q346" s="128">
        <v>125.75999999999999</v>
      </c>
      <c r="R346" s="170">
        <v>179.3</v>
      </c>
      <c r="S346" s="166">
        <v>437.32</v>
      </c>
      <c r="T346" s="136">
        <v>226.93</v>
      </c>
      <c r="U346" s="136">
        <v>336.40999999999997</v>
      </c>
      <c r="V346" s="136">
        <v>356.95000000000005</v>
      </c>
      <c r="W346" s="145">
        <v>478.1</v>
      </c>
      <c r="X346" s="145">
        <v>623.29999999999995</v>
      </c>
      <c r="Y346" s="145">
        <v>657.56000000000006</v>
      </c>
      <c r="Z346" s="140"/>
      <c r="AA346" s="140"/>
      <c r="AB346" s="140"/>
      <c r="AC346" s="142">
        <v>81.13</v>
      </c>
      <c r="AD346" s="145">
        <v>115.6</v>
      </c>
      <c r="AE346" s="142">
        <v>95.200000000000017</v>
      </c>
      <c r="AF346" s="176">
        <v>127.1</v>
      </c>
      <c r="AG346" s="140"/>
      <c r="AH346" s="142">
        <v>90.81</v>
      </c>
      <c r="AI346" s="176">
        <v>100.3</v>
      </c>
      <c r="AJ346" s="140"/>
      <c r="AK346" s="142">
        <v>108.53</v>
      </c>
      <c r="AL346" s="181">
        <v>136.6</v>
      </c>
    </row>
    <row r="347" spans="1:38" x14ac:dyDescent="0.35">
      <c r="A347" s="130">
        <v>42767</v>
      </c>
      <c r="B347" s="135">
        <v>459.88</v>
      </c>
      <c r="C347" s="178"/>
      <c r="D347" s="135">
        <v>210.70999999999998</v>
      </c>
      <c r="E347" s="132">
        <v>219.28</v>
      </c>
      <c r="F347" s="132">
        <v>273.84000000000003</v>
      </c>
      <c r="G347" s="126">
        <v>170.16000000000003</v>
      </c>
      <c r="H347" s="127">
        <v>162.59</v>
      </c>
      <c r="I347" s="132">
        <v>212.9</v>
      </c>
      <c r="J347" s="127">
        <v>226.46</v>
      </c>
      <c r="K347" s="127">
        <v>236.57</v>
      </c>
      <c r="L347" s="132">
        <v>215.01000000000002</v>
      </c>
      <c r="M347" s="129">
        <v>109.84</v>
      </c>
      <c r="N347" s="135">
        <v>145.59</v>
      </c>
      <c r="O347" s="126">
        <v>121.07000000000001</v>
      </c>
      <c r="P347" s="170">
        <v>152.6</v>
      </c>
      <c r="Q347" s="128">
        <v>133.19</v>
      </c>
      <c r="R347" s="170">
        <v>179.3</v>
      </c>
      <c r="S347" s="166">
        <v>441.69</v>
      </c>
      <c r="T347" s="136">
        <v>228.16000000000003</v>
      </c>
      <c r="U347" s="136">
        <v>339.60999999999996</v>
      </c>
      <c r="V347" s="136">
        <v>358.43</v>
      </c>
      <c r="W347" s="145">
        <v>478.1</v>
      </c>
      <c r="X347" s="145">
        <v>623.29999999999995</v>
      </c>
      <c r="Y347" s="145">
        <v>657.66000000000008</v>
      </c>
      <c r="Z347" s="140"/>
      <c r="AA347" s="140"/>
      <c r="AB347" s="140"/>
      <c r="AC347" s="142">
        <v>91.119999999999976</v>
      </c>
      <c r="AD347" s="145">
        <v>115.6</v>
      </c>
      <c r="AE347" s="142">
        <v>95.87</v>
      </c>
      <c r="AF347" s="176">
        <v>127.1</v>
      </c>
      <c r="AG347" s="140"/>
      <c r="AH347" s="142">
        <v>90.85</v>
      </c>
      <c r="AI347" s="176">
        <v>100.3</v>
      </c>
      <c r="AJ347" s="140"/>
      <c r="AK347" s="142">
        <v>109.35</v>
      </c>
      <c r="AL347" s="181">
        <v>136.6</v>
      </c>
    </row>
    <row r="348" spans="1:38" x14ac:dyDescent="0.35">
      <c r="A348" s="130">
        <v>42795</v>
      </c>
      <c r="B348" s="135">
        <v>460.18</v>
      </c>
      <c r="C348" s="178"/>
      <c r="D348" s="135">
        <v>211.1</v>
      </c>
      <c r="E348" s="132">
        <v>219.29999999999998</v>
      </c>
      <c r="F348" s="132">
        <v>273.35000000000002</v>
      </c>
      <c r="G348" s="126">
        <v>163.47000000000003</v>
      </c>
      <c r="H348" s="127">
        <v>160.53</v>
      </c>
      <c r="I348" s="132">
        <v>207.48000000000002</v>
      </c>
      <c r="J348" s="127">
        <v>226.11</v>
      </c>
      <c r="K348" s="127">
        <v>234.58</v>
      </c>
      <c r="L348" s="132">
        <v>214.20000000000002</v>
      </c>
      <c r="M348" s="129">
        <v>110.50000000000001</v>
      </c>
      <c r="N348" s="135">
        <v>139.10000000000002</v>
      </c>
      <c r="O348" s="126">
        <v>122.44000000000001</v>
      </c>
      <c r="P348" s="170">
        <v>152.6</v>
      </c>
      <c r="Q348" s="128">
        <v>134.29</v>
      </c>
      <c r="R348" s="170">
        <v>179.3</v>
      </c>
      <c r="S348" s="166">
        <v>441.88</v>
      </c>
      <c r="T348" s="136">
        <v>229.32000000000002</v>
      </c>
      <c r="U348" s="136">
        <v>336.80999999999995</v>
      </c>
      <c r="V348" s="136">
        <v>357.02000000000004</v>
      </c>
      <c r="W348" s="145">
        <v>478.1</v>
      </c>
      <c r="X348" s="145">
        <v>623.29999999999995</v>
      </c>
      <c r="Y348" s="145">
        <v>657.66000000000008</v>
      </c>
      <c r="Z348" s="140"/>
      <c r="AA348" s="140"/>
      <c r="AB348" s="140"/>
      <c r="AC348" s="142">
        <v>83.839999999999989</v>
      </c>
      <c r="AD348" s="145">
        <v>115.6</v>
      </c>
      <c r="AE348" s="142">
        <v>95.990000000000009</v>
      </c>
      <c r="AF348" s="176">
        <v>127.1</v>
      </c>
      <c r="AG348" s="140"/>
      <c r="AH348" s="142">
        <v>90.52</v>
      </c>
      <c r="AI348" s="176">
        <v>100.3</v>
      </c>
      <c r="AJ348" s="140"/>
      <c r="AK348" s="142">
        <v>110.13</v>
      </c>
      <c r="AL348" s="181">
        <v>136.6</v>
      </c>
    </row>
    <row r="349" spans="1:38" x14ac:dyDescent="0.35">
      <c r="A349" s="130">
        <v>42826</v>
      </c>
      <c r="B349" s="135">
        <v>460.15</v>
      </c>
      <c r="C349" s="178"/>
      <c r="D349" s="135">
        <v>211.14999999999998</v>
      </c>
      <c r="E349" s="132">
        <v>218.94</v>
      </c>
      <c r="F349" s="132">
        <v>272.16000000000003</v>
      </c>
      <c r="G349" s="126">
        <v>159.09</v>
      </c>
      <c r="H349" s="127">
        <v>158.11000000000001</v>
      </c>
      <c r="I349" s="132">
        <v>211.82000000000002</v>
      </c>
      <c r="J349" s="127">
        <v>224.71</v>
      </c>
      <c r="K349" s="127">
        <v>232.09</v>
      </c>
      <c r="L349" s="132">
        <v>213.23000000000002</v>
      </c>
      <c r="M349" s="129">
        <v>110.33000000000001</v>
      </c>
      <c r="N349" s="143">
        <v>135.6</v>
      </c>
      <c r="O349" s="126">
        <v>124.78</v>
      </c>
      <c r="P349" s="170">
        <v>152.6</v>
      </c>
      <c r="Q349" s="128">
        <v>137.29999999999998</v>
      </c>
      <c r="R349" s="170">
        <v>179.3</v>
      </c>
      <c r="S349" s="166">
        <v>442.49</v>
      </c>
      <c r="T349" s="136">
        <v>230.86</v>
      </c>
      <c r="U349" s="136">
        <v>336.14</v>
      </c>
      <c r="V349" s="136">
        <v>356.99</v>
      </c>
      <c r="W349" s="145">
        <v>478.1</v>
      </c>
      <c r="X349" s="145">
        <v>623.29999999999995</v>
      </c>
      <c r="Y349" s="175">
        <v>656.62</v>
      </c>
      <c r="Z349" s="140"/>
      <c r="AA349" s="140"/>
      <c r="AB349" s="140"/>
      <c r="AC349" s="142">
        <v>82.899999999999977</v>
      </c>
      <c r="AD349" s="145">
        <v>115.6</v>
      </c>
      <c r="AE349" s="142">
        <v>95.920000000000016</v>
      </c>
      <c r="AF349" s="176">
        <v>127.1</v>
      </c>
      <c r="AG349" s="140"/>
      <c r="AH349" s="142">
        <v>90.889999999999986</v>
      </c>
      <c r="AI349" s="176">
        <v>100.3</v>
      </c>
      <c r="AJ349" s="140"/>
      <c r="AK349" s="142">
        <v>111.47999999999999</v>
      </c>
      <c r="AL349" s="181">
        <v>136.6</v>
      </c>
    </row>
    <row r="350" spans="1:38" x14ac:dyDescent="0.35">
      <c r="A350" s="130">
        <v>42856</v>
      </c>
      <c r="B350" s="135">
        <v>460.05</v>
      </c>
      <c r="C350" s="178"/>
      <c r="D350" s="135">
        <v>210.87</v>
      </c>
      <c r="E350" s="132">
        <v>218.56</v>
      </c>
      <c r="F350" s="132">
        <v>271.22000000000003</v>
      </c>
      <c r="G350" s="126">
        <v>158.05000000000001</v>
      </c>
      <c r="H350" s="127">
        <v>157.47000000000003</v>
      </c>
      <c r="I350" s="132">
        <v>204.85000000000002</v>
      </c>
      <c r="J350" s="127">
        <v>224.15</v>
      </c>
      <c r="K350" s="127">
        <v>231.02</v>
      </c>
      <c r="L350" s="132">
        <v>212.89000000000001</v>
      </c>
      <c r="M350" s="129">
        <v>109.82000000000002</v>
      </c>
      <c r="N350" s="143">
        <v>135.6</v>
      </c>
      <c r="O350" s="126">
        <v>125.64000000000001</v>
      </c>
      <c r="P350" s="170">
        <v>152.6</v>
      </c>
      <c r="Q350" s="128">
        <v>138.20999999999998</v>
      </c>
      <c r="R350" s="170">
        <v>179.3</v>
      </c>
      <c r="S350" s="166">
        <v>441.63</v>
      </c>
      <c r="T350" s="136">
        <v>231.57000000000002</v>
      </c>
      <c r="U350" s="136">
        <v>336.15</v>
      </c>
      <c r="V350" s="136">
        <v>356.99</v>
      </c>
      <c r="W350" s="145">
        <v>478.1</v>
      </c>
      <c r="X350" s="145">
        <v>623.29999999999995</v>
      </c>
      <c r="Y350" s="145">
        <v>658.42000000000007</v>
      </c>
      <c r="Z350" s="140"/>
      <c r="AA350" s="140"/>
      <c r="AB350" s="140"/>
      <c r="AC350" s="142">
        <v>82.789999999999992</v>
      </c>
      <c r="AD350" s="145">
        <v>115.6</v>
      </c>
      <c r="AE350" s="142">
        <v>95.800000000000011</v>
      </c>
      <c r="AF350" s="176">
        <v>127.1</v>
      </c>
      <c r="AG350" s="140"/>
      <c r="AH350" s="142">
        <v>91.09</v>
      </c>
      <c r="AI350" s="176">
        <v>100.3</v>
      </c>
      <c r="AJ350" s="140"/>
      <c r="AK350" s="142">
        <v>112.03999999999999</v>
      </c>
      <c r="AL350" s="181">
        <v>136.6</v>
      </c>
    </row>
    <row r="351" spans="1:38" x14ac:dyDescent="0.35">
      <c r="A351" s="130">
        <v>42887</v>
      </c>
      <c r="B351" s="135">
        <v>460.04</v>
      </c>
      <c r="C351" s="178"/>
      <c r="D351" s="135">
        <v>210.67</v>
      </c>
      <c r="E351" s="132">
        <v>218.28</v>
      </c>
      <c r="F351" s="132">
        <v>270.73</v>
      </c>
      <c r="G351" s="126">
        <v>157.35000000000002</v>
      </c>
      <c r="H351" s="127">
        <v>157.05000000000001</v>
      </c>
      <c r="I351" s="132">
        <v>211.25</v>
      </c>
      <c r="J351" s="127">
        <v>223.69</v>
      </c>
      <c r="K351" s="127">
        <v>230.02</v>
      </c>
      <c r="L351" s="132">
        <v>212.65</v>
      </c>
      <c r="M351" s="129">
        <v>109.54000000000002</v>
      </c>
      <c r="N351" s="143">
        <v>135.6</v>
      </c>
      <c r="O351" s="126">
        <v>126.21000000000001</v>
      </c>
      <c r="P351" s="170">
        <v>152.6</v>
      </c>
      <c r="Q351" s="128">
        <v>138.87</v>
      </c>
      <c r="R351" s="170">
        <v>179.3</v>
      </c>
      <c r="S351" s="166">
        <v>440.59</v>
      </c>
      <c r="T351" s="136">
        <v>232.3</v>
      </c>
      <c r="U351" s="136">
        <v>336.26</v>
      </c>
      <c r="V351" s="136">
        <v>356.96000000000004</v>
      </c>
      <c r="W351" s="145">
        <v>478.1</v>
      </c>
      <c r="X351" s="145">
        <v>623.29999999999995</v>
      </c>
      <c r="Y351" s="175">
        <v>656.62</v>
      </c>
      <c r="Z351" s="140"/>
      <c r="AA351" s="140"/>
      <c r="AB351" s="140"/>
      <c r="AC351" s="142">
        <v>82.899999999999977</v>
      </c>
      <c r="AD351" s="145">
        <v>115.6</v>
      </c>
      <c r="AE351" s="142">
        <v>95.670000000000016</v>
      </c>
      <c r="AF351" s="176">
        <v>127.1</v>
      </c>
      <c r="AG351" s="140"/>
      <c r="AH351" s="142">
        <v>91.199999999999989</v>
      </c>
      <c r="AI351" s="176">
        <v>100.3</v>
      </c>
      <c r="AJ351" s="140"/>
      <c r="AK351" s="142">
        <v>112.42999999999999</v>
      </c>
      <c r="AL351" s="181">
        <v>136.6</v>
      </c>
    </row>
    <row r="352" spans="1:38" x14ac:dyDescent="0.35">
      <c r="A352" s="130">
        <v>42917</v>
      </c>
      <c r="B352" s="135">
        <v>460.02</v>
      </c>
      <c r="C352" s="178"/>
      <c r="D352" s="135">
        <v>210.62</v>
      </c>
      <c r="E352" s="132">
        <v>217.98</v>
      </c>
      <c r="F352" s="132">
        <v>270.24</v>
      </c>
      <c r="G352" s="126">
        <v>157.19</v>
      </c>
      <c r="H352" s="127">
        <v>156.79000000000002</v>
      </c>
      <c r="I352" s="132">
        <v>203.05</v>
      </c>
      <c r="J352" s="127">
        <v>223.46</v>
      </c>
      <c r="K352" s="127">
        <v>229.35</v>
      </c>
      <c r="L352" s="132">
        <v>212.49</v>
      </c>
      <c r="M352" s="129">
        <v>109.27000000000001</v>
      </c>
      <c r="N352" s="143">
        <v>135.6</v>
      </c>
      <c r="O352" s="126">
        <v>126.5</v>
      </c>
      <c r="P352" s="170">
        <v>152.6</v>
      </c>
      <c r="Q352" s="128">
        <v>139.22999999999999</v>
      </c>
      <c r="R352" s="170">
        <v>179.3</v>
      </c>
      <c r="S352" s="166">
        <v>439.59999999999997</v>
      </c>
      <c r="T352" s="136">
        <v>232.40000000000003</v>
      </c>
      <c r="U352" s="136">
        <v>336.36999999999995</v>
      </c>
      <c r="V352" s="136">
        <v>357.11</v>
      </c>
      <c r="W352" s="145">
        <v>478.1</v>
      </c>
      <c r="X352" s="145">
        <v>623.29999999999995</v>
      </c>
      <c r="Y352" s="175">
        <v>656.62</v>
      </c>
      <c r="Z352" s="140"/>
      <c r="AA352" s="140"/>
      <c r="AB352" s="140"/>
      <c r="AC352" s="142">
        <v>82.88</v>
      </c>
      <c r="AD352" s="145">
        <v>115.6</v>
      </c>
      <c r="AE352" s="142">
        <v>95.53</v>
      </c>
      <c r="AF352" s="176">
        <v>127.1</v>
      </c>
      <c r="AG352" s="140"/>
      <c r="AH352" s="142">
        <v>91.109999999999985</v>
      </c>
      <c r="AI352" s="176">
        <v>100.3</v>
      </c>
      <c r="AJ352" s="140"/>
      <c r="AK352" s="142">
        <v>112.57</v>
      </c>
      <c r="AL352" s="181">
        <v>136.6</v>
      </c>
    </row>
    <row r="353" spans="1:38" x14ac:dyDescent="0.35">
      <c r="A353" s="130">
        <v>42948</v>
      </c>
      <c r="B353" s="137">
        <v>460.32000000000005</v>
      </c>
      <c r="C353" s="178"/>
      <c r="D353" s="135">
        <v>210.01999999999998</v>
      </c>
      <c r="E353" s="132">
        <v>217.62</v>
      </c>
      <c r="F353" s="132">
        <v>269.7</v>
      </c>
      <c r="G353" s="126">
        <v>156.43</v>
      </c>
      <c r="H353" s="127">
        <v>156.48000000000002</v>
      </c>
      <c r="I353" s="132">
        <v>200.5</v>
      </c>
      <c r="J353" s="127">
        <v>223.20000000000002</v>
      </c>
      <c r="K353" s="127">
        <v>228.5</v>
      </c>
      <c r="L353" s="132">
        <v>212.35000000000002</v>
      </c>
      <c r="M353" s="129">
        <v>109.08000000000001</v>
      </c>
      <c r="N353" s="143">
        <v>135.6</v>
      </c>
      <c r="O353" s="126">
        <v>126.55000000000001</v>
      </c>
      <c r="P353" s="170">
        <v>152.6</v>
      </c>
      <c r="Q353" s="128">
        <v>139.08999999999997</v>
      </c>
      <c r="R353" s="170">
        <v>179.3</v>
      </c>
      <c r="S353" s="174">
        <v>427</v>
      </c>
      <c r="T353" s="136">
        <v>232.67000000000002</v>
      </c>
      <c r="U353" s="136">
        <v>336.60999999999996</v>
      </c>
      <c r="V353" s="136">
        <v>357.26</v>
      </c>
      <c r="W353" s="145">
        <v>478.1</v>
      </c>
      <c r="X353" s="145">
        <v>623.29999999999995</v>
      </c>
      <c r="Y353" s="145">
        <v>657.5200000000001</v>
      </c>
      <c r="Z353" s="140"/>
      <c r="AA353" s="140"/>
      <c r="AB353" s="140"/>
      <c r="AC353" s="142">
        <v>82.939999999999984</v>
      </c>
      <c r="AD353" s="145">
        <v>115.6</v>
      </c>
      <c r="AE353" s="142">
        <v>95.37</v>
      </c>
      <c r="AF353" s="176">
        <v>127.1</v>
      </c>
      <c r="AG353" s="140"/>
      <c r="AH353" s="142">
        <v>91.31</v>
      </c>
      <c r="AI353" s="176">
        <v>100.3</v>
      </c>
      <c r="AJ353" s="140"/>
      <c r="AK353" s="142">
        <v>112.8</v>
      </c>
      <c r="AL353" s="181">
        <v>136.6</v>
      </c>
    </row>
    <row r="354" spans="1:38" x14ac:dyDescent="0.35">
      <c r="A354" s="130">
        <v>42979</v>
      </c>
      <c r="B354" s="137">
        <v>460.33000000000004</v>
      </c>
      <c r="C354" s="178"/>
      <c r="D354" s="135">
        <v>209.87</v>
      </c>
      <c r="E354" s="132">
        <v>217.48</v>
      </c>
      <c r="F354" s="132">
        <v>269.41000000000003</v>
      </c>
      <c r="G354" s="126">
        <v>156.20000000000002</v>
      </c>
      <c r="H354" s="127">
        <v>156.35000000000002</v>
      </c>
      <c r="I354" s="132">
        <v>202.25</v>
      </c>
      <c r="J354" s="127">
        <v>223.05</v>
      </c>
      <c r="K354" s="127">
        <v>228.07</v>
      </c>
      <c r="L354" s="132">
        <v>212.29000000000002</v>
      </c>
      <c r="M354" s="129">
        <v>108.88000000000001</v>
      </c>
      <c r="N354" s="143">
        <v>135.6</v>
      </c>
      <c r="O354" s="126">
        <v>126.48000000000002</v>
      </c>
      <c r="P354" s="170">
        <v>152.6</v>
      </c>
      <c r="Q354" s="128">
        <v>139.15999999999997</v>
      </c>
      <c r="R354" s="170">
        <v>179.3</v>
      </c>
      <c r="S354" s="174">
        <v>427</v>
      </c>
      <c r="T354" s="136">
        <v>232.78000000000003</v>
      </c>
      <c r="U354" s="136">
        <v>336.76</v>
      </c>
      <c r="V354" s="136">
        <v>357.37</v>
      </c>
      <c r="W354" s="145">
        <v>478.1</v>
      </c>
      <c r="X354" s="145">
        <v>623.29999999999995</v>
      </c>
      <c r="Y354" s="145">
        <v>658.55000000000007</v>
      </c>
      <c r="Z354" s="140"/>
      <c r="AA354" s="140"/>
      <c r="AB354" s="140"/>
      <c r="AC354" s="142">
        <v>83.019999999999982</v>
      </c>
      <c r="AD354" s="145">
        <v>115.6</v>
      </c>
      <c r="AE354" s="142">
        <v>95.210000000000008</v>
      </c>
      <c r="AF354" s="176">
        <v>127.1</v>
      </c>
      <c r="AG354" s="140"/>
      <c r="AH354" s="142">
        <v>91.19</v>
      </c>
      <c r="AI354" s="176">
        <v>100.3</v>
      </c>
      <c r="AJ354" s="140"/>
      <c r="AK354" s="142">
        <v>112.66999999999999</v>
      </c>
      <c r="AL354" s="181">
        <v>136.6</v>
      </c>
    </row>
    <row r="355" spans="1:38" x14ac:dyDescent="0.35">
      <c r="A355" s="177">
        <v>43026</v>
      </c>
      <c r="B355" s="137">
        <v>460.36</v>
      </c>
      <c r="C355" s="178"/>
      <c r="D355" s="135">
        <v>209.7</v>
      </c>
      <c r="E355" s="132">
        <v>217.25</v>
      </c>
      <c r="F355" s="132">
        <v>268.98</v>
      </c>
      <c r="G355" s="126">
        <v>156.02000000000001</v>
      </c>
      <c r="H355" s="127">
        <v>156.24</v>
      </c>
      <c r="I355" s="132">
        <v>200.5</v>
      </c>
      <c r="J355" s="127">
        <v>222.91</v>
      </c>
      <c r="K355" s="127">
        <v>227.86</v>
      </c>
      <c r="L355" s="132">
        <v>212.32</v>
      </c>
      <c r="M355" s="129">
        <v>108.72000000000001</v>
      </c>
      <c r="N355" s="143">
        <v>135.6</v>
      </c>
      <c r="O355" s="126">
        <v>126.58000000000001</v>
      </c>
      <c r="P355" s="170">
        <v>152.6</v>
      </c>
      <c r="Q355" s="128">
        <v>138.82999999999998</v>
      </c>
      <c r="R355" s="170">
        <v>179.3</v>
      </c>
      <c r="S355" s="174">
        <v>427</v>
      </c>
      <c r="T355" s="136">
        <v>232.69000000000003</v>
      </c>
      <c r="U355" s="136">
        <v>336.80999999999995</v>
      </c>
      <c r="V355" s="136">
        <v>357.39000000000004</v>
      </c>
      <c r="W355" s="145">
        <v>478.1</v>
      </c>
      <c r="X355" s="145">
        <v>623.29999999999995</v>
      </c>
      <c r="Y355" s="145">
        <v>658.62</v>
      </c>
      <c r="Z355" s="140"/>
      <c r="AA355" s="140"/>
      <c r="AB355" s="140"/>
      <c r="AC355" s="142">
        <v>83.089999999999989</v>
      </c>
      <c r="AD355" s="145">
        <v>115.6</v>
      </c>
      <c r="AE355" s="142">
        <v>95.09</v>
      </c>
      <c r="AF355" s="176">
        <v>127.1</v>
      </c>
      <c r="AG355" s="140"/>
      <c r="AH355" s="142">
        <v>91.139999999999986</v>
      </c>
      <c r="AI355" s="176">
        <v>100.3</v>
      </c>
      <c r="AJ355" s="140"/>
      <c r="AK355" s="142">
        <v>112.60999999999999</v>
      </c>
      <c r="AL355" s="181">
        <v>136.6</v>
      </c>
    </row>
    <row r="356" spans="1:38" x14ac:dyDescent="0.35">
      <c r="A356" s="177">
        <v>43059</v>
      </c>
      <c r="B356" s="137">
        <v>460.28000000000003</v>
      </c>
      <c r="C356" s="178"/>
      <c r="D356" s="135">
        <v>209.48999999999998</v>
      </c>
      <c r="E356" s="132">
        <v>217.01999999999998</v>
      </c>
      <c r="F356" s="132">
        <v>268.77000000000004</v>
      </c>
      <c r="G356" s="126">
        <v>155.85000000000002</v>
      </c>
      <c r="H356" s="127">
        <v>156.11000000000001</v>
      </c>
      <c r="I356" s="132">
        <v>200.5</v>
      </c>
      <c r="J356" s="127">
        <v>222.81</v>
      </c>
      <c r="K356" s="127">
        <v>227.8</v>
      </c>
      <c r="L356" s="132">
        <v>212.49</v>
      </c>
      <c r="M356" s="169">
        <v>107.5</v>
      </c>
      <c r="N356" s="143">
        <v>135.6</v>
      </c>
      <c r="O356" s="126">
        <v>125.96000000000001</v>
      </c>
      <c r="P356" s="170">
        <v>152.6</v>
      </c>
      <c r="Q356" s="128">
        <v>138.31</v>
      </c>
      <c r="R356" s="170">
        <v>179.3</v>
      </c>
      <c r="S356" s="174">
        <v>427</v>
      </c>
      <c r="T356" s="136">
        <v>232.34000000000003</v>
      </c>
      <c r="U356" s="136">
        <v>336.75</v>
      </c>
      <c r="V356" s="136">
        <v>357.34000000000003</v>
      </c>
      <c r="W356" s="145">
        <v>478.1</v>
      </c>
      <c r="X356" s="145">
        <v>623.29999999999995</v>
      </c>
      <c r="Y356" s="145">
        <v>658.6</v>
      </c>
      <c r="Z356" s="140"/>
      <c r="AA356" s="140"/>
      <c r="AB356" s="140"/>
      <c r="AC356" s="142">
        <v>83.249999999999986</v>
      </c>
      <c r="AD356" s="145">
        <v>115.6</v>
      </c>
      <c r="AE356" s="142">
        <v>95.04</v>
      </c>
      <c r="AF356" s="176">
        <v>127.1</v>
      </c>
      <c r="AG356" s="140"/>
      <c r="AH356" s="142">
        <v>91.1</v>
      </c>
      <c r="AI356" s="176">
        <v>100.3</v>
      </c>
      <c r="AJ356" s="140"/>
      <c r="AK356" s="142">
        <v>112.44999999999999</v>
      </c>
      <c r="AL356" s="181">
        <v>136.6</v>
      </c>
    </row>
    <row r="357" spans="1:38" x14ac:dyDescent="0.35">
      <c r="A357" s="177">
        <v>43083</v>
      </c>
      <c r="B357" s="137">
        <v>460.26000000000005</v>
      </c>
      <c r="C357" s="178"/>
      <c r="D357" s="135">
        <v>209.45999999999998</v>
      </c>
      <c r="E357" s="132">
        <v>216.92</v>
      </c>
      <c r="F357" s="132">
        <v>268.31</v>
      </c>
      <c r="G357" s="126">
        <v>155.68</v>
      </c>
      <c r="H357" s="127">
        <v>156.04000000000002</v>
      </c>
      <c r="I357" s="132">
        <v>200.5</v>
      </c>
      <c r="J357" s="127">
        <v>222.77</v>
      </c>
      <c r="K357" s="127">
        <v>227.81</v>
      </c>
      <c r="L357" s="132">
        <v>212.60000000000002</v>
      </c>
      <c r="M357" s="169">
        <v>107.5</v>
      </c>
      <c r="N357" s="143">
        <v>135.6</v>
      </c>
      <c r="O357" s="126">
        <v>125.69000000000001</v>
      </c>
      <c r="P357" s="170">
        <v>152.6</v>
      </c>
      <c r="Q357" s="128">
        <v>137.81</v>
      </c>
      <c r="R357" s="170">
        <v>179.3</v>
      </c>
      <c r="S357" s="174">
        <v>427</v>
      </c>
      <c r="T357" s="136">
        <v>232.14000000000001</v>
      </c>
      <c r="U357" s="136">
        <v>336.67999999999995</v>
      </c>
      <c r="V357" s="136">
        <v>357.16</v>
      </c>
      <c r="W357" s="145">
        <v>478.1</v>
      </c>
      <c r="X357" s="145">
        <v>623.29999999999995</v>
      </c>
      <c r="Y357" s="145">
        <v>658.5</v>
      </c>
      <c r="Z357" s="140"/>
      <c r="AA357" s="140"/>
      <c r="AB357" s="140"/>
      <c r="AC357" s="142">
        <v>83.279999999999987</v>
      </c>
      <c r="AD357" s="145">
        <v>115.6</v>
      </c>
      <c r="AE357" s="142">
        <v>94.93</v>
      </c>
      <c r="AF357" s="176">
        <v>127.1</v>
      </c>
      <c r="AG357" s="140"/>
      <c r="AH357" s="142">
        <v>90.919999999999987</v>
      </c>
      <c r="AI357" s="176">
        <v>100.3</v>
      </c>
      <c r="AJ357" s="140"/>
      <c r="AK357" s="142">
        <v>112.44999999999999</v>
      </c>
      <c r="AL357" s="181">
        <v>136.6</v>
      </c>
    </row>
    <row r="358" spans="1:38" x14ac:dyDescent="0.35">
      <c r="A358" s="177">
        <v>43129</v>
      </c>
      <c r="B358" s="137">
        <v>460.19000000000005</v>
      </c>
      <c r="C358" s="178"/>
      <c r="D358" s="135">
        <v>209.31</v>
      </c>
      <c r="E358" s="132">
        <v>217.13</v>
      </c>
      <c r="F358" s="132">
        <v>268.32</v>
      </c>
      <c r="G358" s="126">
        <v>156.59</v>
      </c>
      <c r="H358" s="127">
        <v>156.53</v>
      </c>
      <c r="I358" s="132">
        <v>211.71</v>
      </c>
      <c r="J358" s="127">
        <v>222.73000000000002</v>
      </c>
      <c r="K358" s="127">
        <v>229.59</v>
      </c>
      <c r="L358" s="132">
        <v>212.77</v>
      </c>
      <c r="M358" s="129">
        <v>108.66000000000001</v>
      </c>
      <c r="N358" s="143">
        <v>135.6</v>
      </c>
      <c r="O358" s="126">
        <v>125.27000000000001</v>
      </c>
      <c r="P358" s="170">
        <v>152.6</v>
      </c>
      <c r="Q358" s="128">
        <v>136.73999999999998</v>
      </c>
      <c r="R358" s="170">
        <v>179.3</v>
      </c>
      <c r="S358" s="174">
        <v>427</v>
      </c>
      <c r="T358" s="136">
        <v>231.38000000000002</v>
      </c>
      <c r="U358" s="136">
        <v>336.63</v>
      </c>
      <c r="V358" s="136">
        <v>356.39000000000004</v>
      </c>
      <c r="W358" s="145">
        <v>478.1</v>
      </c>
      <c r="X358" s="145">
        <v>623.29999999999995</v>
      </c>
      <c r="Y358" s="145">
        <v>658.49</v>
      </c>
      <c r="Z358" s="140"/>
      <c r="AA358" s="140"/>
      <c r="AB358" s="140"/>
      <c r="AC358" s="142">
        <v>83.499999999999986</v>
      </c>
      <c r="AD358" s="145">
        <v>115.6</v>
      </c>
      <c r="AE358" s="142">
        <v>94.97</v>
      </c>
      <c r="AF358" s="176">
        <v>127.1</v>
      </c>
      <c r="AG358" s="140"/>
      <c r="AH358" s="142">
        <v>91.389999999999986</v>
      </c>
      <c r="AI358" s="176">
        <v>100.3</v>
      </c>
      <c r="AJ358" s="140"/>
      <c r="AK358" s="142">
        <v>112.07</v>
      </c>
      <c r="AL358" s="181">
        <v>136.6</v>
      </c>
    </row>
    <row r="359" spans="1:38" x14ac:dyDescent="0.35">
      <c r="A359" s="177">
        <v>43153</v>
      </c>
      <c r="B359" s="137">
        <v>460.12</v>
      </c>
      <c r="C359" s="178"/>
      <c r="D359" s="135">
        <v>209.29999999999998</v>
      </c>
      <c r="E359" s="132">
        <v>216.85</v>
      </c>
      <c r="F359" s="132">
        <v>268.26</v>
      </c>
      <c r="G359" s="126">
        <v>156.14000000000001</v>
      </c>
      <c r="H359" s="127">
        <v>156.21</v>
      </c>
      <c r="I359" s="132">
        <v>212.70000000000002</v>
      </c>
      <c r="J359" s="127">
        <v>222.68</v>
      </c>
      <c r="K359" s="127">
        <v>233.35</v>
      </c>
      <c r="L359" s="132">
        <v>213.20000000000002</v>
      </c>
      <c r="M359" s="169">
        <v>107.5</v>
      </c>
      <c r="N359" s="143">
        <v>135.6</v>
      </c>
      <c r="O359" s="126">
        <v>125.02000000000001</v>
      </c>
      <c r="P359" s="170">
        <v>152.6</v>
      </c>
      <c r="Q359" s="128">
        <v>136.54999999999998</v>
      </c>
      <c r="R359" s="170">
        <v>179.3</v>
      </c>
      <c r="S359" s="174">
        <v>427</v>
      </c>
      <c r="T359" s="136">
        <v>230.85000000000002</v>
      </c>
      <c r="U359" s="136">
        <v>336.5</v>
      </c>
      <c r="V359" s="136">
        <v>357.18</v>
      </c>
      <c r="W359" s="145">
        <v>478.1</v>
      </c>
      <c r="X359" s="145">
        <v>623.29999999999995</v>
      </c>
      <c r="Y359" s="145">
        <v>658.44</v>
      </c>
      <c r="Z359" s="140"/>
      <c r="AA359" s="140"/>
      <c r="AB359" s="140"/>
      <c r="AC359" s="142">
        <v>83.57</v>
      </c>
      <c r="AD359" s="145">
        <v>115.6</v>
      </c>
      <c r="AE359" s="142">
        <v>94.850000000000009</v>
      </c>
      <c r="AF359" s="176">
        <v>127.1</v>
      </c>
      <c r="AG359" s="140"/>
      <c r="AH359" s="142">
        <v>90.949999999999989</v>
      </c>
      <c r="AI359" s="176">
        <v>100.3</v>
      </c>
      <c r="AJ359" s="140"/>
      <c r="AK359" s="142">
        <v>111.9</v>
      </c>
      <c r="AL359" s="181">
        <v>136.6</v>
      </c>
    </row>
    <row r="360" spans="1:38" x14ac:dyDescent="0.35">
      <c r="A360" s="177">
        <v>43186</v>
      </c>
      <c r="B360" s="137">
        <v>460.1</v>
      </c>
      <c r="C360" s="178"/>
      <c r="D360" s="135">
        <v>209.75</v>
      </c>
      <c r="E360" s="132">
        <v>217.6</v>
      </c>
      <c r="F360" s="132">
        <v>270.11</v>
      </c>
      <c r="G360" s="126">
        <v>164.34</v>
      </c>
      <c r="H360" s="127">
        <v>159.44</v>
      </c>
      <c r="I360" s="132">
        <v>212.75</v>
      </c>
      <c r="J360" s="127">
        <v>223.01000000000002</v>
      </c>
      <c r="K360" s="127">
        <v>237.62</v>
      </c>
      <c r="L360" s="132">
        <v>213.97</v>
      </c>
      <c r="M360" s="129">
        <v>108.67000000000002</v>
      </c>
      <c r="N360" s="143">
        <v>135.6</v>
      </c>
      <c r="O360" s="126">
        <v>124.84</v>
      </c>
      <c r="P360" s="170">
        <v>152.6</v>
      </c>
      <c r="Q360" s="128">
        <v>136.38999999999999</v>
      </c>
      <c r="R360" s="170">
        <v>179.3</v>
      </c>
      <c r="S360" s="166">
        <v>427.11</v>
      </c>
      <c r="T360" s="136">
        <v>230.52</v>
      </c>
      <c r="U360" s="136">
        <v>336.39</v>
      </c>
      <c r="V360" s="136">
        <v>360.12</v>
      </c>
      <c r="W360" s="145">
        <v>478.1</v>
      </c>
      <c r="X360" s="145">
        <v>623.29999999999995</v>
      </c>
      <c r="Y360" s="145">
        <v>658.5</v>
      </c>
      <c r="Z360" s="140"/>
      <c r="AA360" s="140"/>
      <c r="AB360" s="140"/>
      <c r="AC360" s="142">
        <v>83.749999999999986</v>
      </c>
      <c r="AD360" s="145">
        <v>115.6</v>
      </c>
      <c r="AE360" s="142">
        <v>95.010000000000019</v>
      </c>
      <c r="AF360" s="176">
        <v>127.1</v>
      </c>
      <c r="AG360" s="140"/>
      <c r="AH360" s="142">
        <v>90.84</v>
      </c>
      <c r="AI360" s="176">
        <v>100.3</v>
      </c>
      <c r="AJ360" s="140"/>
      <c r="AK360" s="142">
        <v>111.8</v>
      </c>
      <c r="AL360" s="181">
        <v>136.6</v>
      </c>
    </row>
    <row r="361" spans="1:38" x14ac:dyDescent="0.35">
      <c r="A361" s="177">
        <v>43213</v>
      </c>
      <c r="B361" s="137">
        <v>460.13000000000005</v>
      </c>
      <c r="C361" s="178"/>
      <c r="D361" s="135">
        <v>210.06</v>
      </c>
      <c r="E361" s="132">
        <v>217.81</v>
      </c>
      <c r="F361" s="132">
        <v>269.54000000000002</v>
      </c>
      <c r="G361" s="126">
        <v>159.22000000000003</v>
      </c>
      <c r="H361" s="127">
        <v>158.05000000000001</v>
      </c>
      <c r="I361" s="132">
        <v>206.98000000000002</v>
      </c>
      <c r="J361" s="127">
        <v>223.21</v>
      </c>
      <c r="K361" s="127">
        <v>240.69</v>
      </c>
      <c r="L361" s="132">
        <v>214.04000000000002</v>
      </c>
      <c r="M361" s="129">
        <v>108.70000000000002</v>
      </c>
      <c r="N361" s="143">
        <v>135.6</v>
      </c>
      <c r="O361" s="126">
        <v>124.73000000000002</v>
      </c>
      <c r="P361" s="170">
        <v>152.6</v>
      </c>
      <c r="Q361" s="128">
        <v>136.58999999999997</v>
      </c>
      <c r="R361" s="170">
        <v>179.3</v>
      </c>
      <c r="S361" s="166">
        <v>426.91999999999996</v>
      </c>
      <c r="T361" s="136">
        <v>230.59000000000003</v>
      </c>
      <c r="U361" s="136">
        <v>336.30999999999995</v>
      </c>
      <c r="V361" s="136">
        <v>357.23</v>
      </c>
      <c r="W361" s="145">
        <v>478.1</v>
      </c>
      <c r="X361" s="145">
        <v>623.29999999999995</v>
      </c>
      <c r="Y361" s="145">
        <v>658.53000000000009</v>
      </c>
      <c r="Z361" s="140"/>
      <c r="AA361" s="140"/>
      <c r="AB361" s="140"/>
      <c r="AC361" s="142">
        <v>84.649999999999977</v>
      </c>
      <c r="AD361" s="145">
        <v>115.6</v>
      </c>
      <c r="AE361" s="142">
        <v>94.980000000000018</v>
      </c>
      <c r="AF361" s="176">
        <v>127.1</v>
      </c>
      <c r="AG361" s="140"/>
      <c r="AH361" s="142">
        <v>90.6</v>
      </c>
      <c r="AI361" s="176">
        <v>100.3</v>
      </c>
      <c r="AJ361" s="140"/>
      <c r="AK361" s="142">
        <v>111.65</v>
      </c>
      <c r="AL361" s="181">
        <v>136.6</v>
      </c>
    </row>
    <row r="362" spans="1:38" x14ac:dyDescent="0.35">
      <c r="A362" s="177">
        <v>43241</v>
      </c>
      <c r="B362" s="137">
        <v>460.19000000000005</v>
      </c>
      <c r="C362" s="178"/>
      <c r="D362" s="135">
        <v>210.19</v>
      </c>
      <c r="E362" s="132">
        <v>217.76</v>
      </c>
      <c r="F362" s="132">
        <v>269.39</v>
      </c>
      <c r="G362" s="126">
        <v>157.83000000000001</v>
      </c>
      <c r="H362" s="127">
        <v>157.13</v>
      </c>
      <c r="I362" s="132">
        <v>212.79000000000002</v>
      </c>
      <c r="J362" s="127">
        <v>223.26000000000002</v>
      </c>
      <c r="K362" s="127">
        <v>242.81</v>
      </c>
      <c r="L362" s="132">
        <v>214.18</v>
      </c>
      <c r="M362" s="129">
        <v>108.73000000000002</v>
      </c>
      <c r="N362" s="143">
        <v>135.6</v>
      </c>
      <c r="O362" s="126">
        <v>124.67000000000002</v>
      </c>
      <c r="P362" s="170">
        <v>152.6</v>
      </c>
      <c r="Q362" s="128">
        <v>136.33999999999997</v>
      </c>
      <c r="R362" s="170">
        <v>179.3</v>
      </c>
      <c r="S362" s="166">
        <v>426.24</v>
      </c>
      <c r="T362" s="136">
        <v>230.70000000000002</v>
      </c>
      <c r="U362" s="136">
        <v>336.28</v>
      </c>
      <c r="V362" s="136">
        <v>357.05</v>
      </c>
      <c r="W362" s="145">
        <v>478.1</v>
      </c>
      <c r="X362" s="145">
        <v>623.29999999999995</v>
      </c>
      <c r="Y362" s="145">
        <v>658.6</v>
      </c>
      <c r="Z362" s="140"/>
      <c r="AA362" s="140"/>
      <c r="AB362" s="140"/>
      <c r="AC362" s="142">
        <v>83.589999999999989</v>
      </c>
      <c r="AD362" s="145">
        <v>115.6</v>
      </c>
      <c r="AE362" s="142">
        <v>94.960000000000008</v>
      </c>
      <c r="AF362" s="176">
        <v>127.1</v>
      </c>
      <c r="AG362" s="140"/>
      <c r="AH362" s="142">
        <v>90.789999999999992</v>
      </c>
      <c r="AI362" s="176">
        <v>100.3</v>
      </c>
      <c r="AJ362" s="140"/>
      <c r="AK362" s="142">
        <v>111.60999999999999</v>
      </c>
      <c r="AL362" s="181">
        <v>136.6</v>
      </c>
    </row>
    <row r="363" spans="1:38" x14ac:dyDescent="0.35">
      <c r="A363" s="177">
        <v>43270</v>
      </c>
      <c r="B363" s="137">
        <v>460.13000000000005</v>
      </c>
      <c r="C363" s="178"/>
      <c r="D363" s="135">
        <v>209.95999999999998</v>
      </c>
      <c r="E363" s="132">
        <v>217.53</v>
      </c>
      <c r="F363" s="132">
        <v>268.99</v>
      </c>
      <c r="G363" s="126">
        <v>157.68</v>
      </c>
      <c r="H363" s="127">
        <v>156.9</v>
      </c>
      <c r="I363" s="132">
        <v>211.87</v>
      </c>
      <c r="J363" s="127">
        <v>223.37</v>
      </c>
      <c r="K363" s="127">
        <v>243.45000000000002</v>
      </c>
      <c r="L363" s="132">
        <v>214.22</v>
      </c>
      <c r="M363" s="129">
        <v>108.69000000000001</v>
      </c>
      <c r="N363" s="143">
        <v>135.6</v>
      </c>
      <c r="O363" s="126">
        <v>124.51000000000002</v>
      </c>
      <c r="P363" s="170">
        <v>152.6</v>
      </c>
      <c r="Q363" s="128">
        <v>135.93</v>
      </c>
      <c r="R363" s="170">
        <v>179.3</v>
      </c>
      <c r="S363" s="166">
        <v>425.82</v>
      </c>
      <c r="T363" s="136">
        <v>230.61</v>
      </c>
      <c r="U363" s="136">
        <v>336.28</v>
      </c>
      <c r="V363" s="136">
        <v>357.02000000000004</v>
      </c>
      <c r="W363" s="145">
        <v>478.1</v>
      </c>
      <c r="X363" s="145">
        <v>623.29999999999995</v>
      </c>
      <c r="Y363" s="145">
        <v>658.61</v>
      </c>
      <c r="Z363" s="140"/>
      <c r="AA363" s="140"/>
      <c r="AB363" s="140"/>
      <c r="AC363" s="142">
        <v>83.57</v>
      </c>
      <c r="AD363" s="145">
        <v>115.6</v>
      </c>
      <c r="AE363" s="142">
        <v>94.860000000000014</v>
      </c>
      <c r="AF363" s="176">
        <v>127.1</v>
      </c>
      <c r="AG363" s="140"/>
      <c r="AH363" s="142">
        <v>90.77</v>
      </c>
      <c r="AI363" s="176">
        <v>100.3</v>
      </c>
      <c r="AJ363" s="140"/>
      <c r="AK363" s="142">
        <v>111.56</v>
      </c>
      <c r="AL363" s="181">
        <v>136.6</v>
      </c>
    </row>
    <row r="364" spans="1:38" x14ac:dyDescent="0.35">
      <c r="A364" s="177">
        <v>43297</v>
      </c>
      <c r="B364" s="137">
        <v>460.17</v>
      </c>
      <c r="C364" s="178"/>
      <c r="D364" s="135">
        <v>209.84</v>
      </c>
      <c r="E364" s="132">
        <v>217.20999999999998</v>
      </c>
      <c r="F364" s="132">
        <v>268.42</v>
      </c>
      <c r="G364" s="126">
        <v>156.62</v>
      </c>
      <c r="H364" s="127">
        <v>156.52000000000001</v>
      </c>
      <c r="I364" s="132">
        <v>202.49</v>
      </c>
      <c r="J364" s="127">
        <v>223.46</v>
      </c>
      <c r="K364" s="127">
        <v>242.12</v>
      </c>
      <c r="L364" s="132">
        <v>214.25</v>
      </c>
      <c r="M364" s="169">
        <v>107.5</v>
      </c>
      <c r="N364" s="143">
        <v>135.6</v>
      </c>
      <c r="O364" s="126">
        <v>124.18</v>
      </c>
      <c r="P364" s="170">
        <v>152.6</v>
      </c>
      <c r="Q364" s="128">
        <v>135.72999999999999</v>
      </c>
      <c r="R364" s="170">
        <v>179.3</v>
      </c>
      <c r="S364" s="166">
        <v>425.51</v>
      </c>
      <c r="T364" s="136">
        <v>230.71</v>
      </c>
      <c r="U364" s="136">
        <v>336.22999999999996</v>
      </c>
      <c r="V364" s="136">
        <v>356.98</v>
      </c>
      <c r="W364" s="145">
        <v>478.1</v>
      </c>
      <c r="X364" s="145">
        <v>623.29999999999995</v>
      </c>
      <c r="Y364" s="145">
        <v>658.48</v>
      </c>
      <c r="Z364" s="140"/>
      <c r="AA364" s="140"/>
      <c r="AB364" s="140"/>
      <c r="AC364" s="142">
        <v>83.539999999999992</v>
      </c>
      <c r="AD364" s="145">
        <v>115.6</v>
      </c>
      <c r="AE364" s="142">
        <v>94.830000000000013</v>
      </c>
      <c r="AF364" s="176">
        <v>127.1</v>
      </c>
      <c r="AG364" s="140"/>
      <c r="AH364" s="142">
        <v>90.88</v>
      </c>
      <c r="AI364" s="176">
        <v>100.3</v>
      </c>
      <c r="AJ364" s="140"/>
      <c r="AK364" s="142">
        <v>111.53</v>
      </c>
      <c r="AL364" s="181">
        <v>136.6</v>
      </c>
    </row>
    <row r="365" spans="1:38" x14ac:dyDescent="0.35">
      <c r="A365" s="177">
        <v>43329</v>
      </c>
      <c r="B365" s="137">
        <v>460.1</v>
      </c>
      <c r="C365" s="178"/>
      <c r="D365" s="135">
        <v>209.57999999999998</v>
      </c>
      <c r="E365" s="132">
        <v>216.92</v>
      </c>
      <c r="F365" s="132">
        <v>267.87</v>
      </c>
      <c r="G365" s="126">
        <v>156.23000000000002</v>
      </c>
      <c r="H365" s="127">
        <v>155.26000000000002</v>
      </c>
      <c r="I365" s="132">
        <v>200.5</v>
      </c>
      <c r="J365" s="127">
        <v>223.34</v>
      </c>
      <c r="K365" s="127">
        <v>239.94</v>
      </c>
      <c r="L365" s="132">
        <v>214.02</v>
      </c>
      <c r="M365" s="169">
        <v>107.5</v>
      </c>
      <c r="N365" s="143">
        <v>135.6</v>
      </c>
      <c r="O365" s="126">
        <v>124.08000000000001</v>
      </c>
      <c r="P365" s="170">
        <v>152.6</v>
      </c>
      <c r="Q365" s="128">
        <v>135.34999999999997</v>
      </c>
      <c r="R365" s="170">
        <v>179.3</v>
      </c>
      <c r="S365" s="166">
        <v>425.5</v>
      </c>
      <c r="T365" s="136">
        <v>230.63000000000002</v>
      </c>
      <c r="U365" s="136">
        <v>336.23999999999995</v>
      </c>
      <c r="V365" s="136"/>
      <c r="W365" s="145">
        <v>478.1</v>
      </c>
      <c r="X365" s="145">
        <v>623.29999999999995</v>
      </c>
      <c r="Y365" s="145">
        <v>658.48</v>
      </c>
      <c r="Z365" s="140"/>
      <c r="AA365" s="140"/>
      <c r="AB365" s="140"/>
      <c r="AC365" s="142">
        <v>83.499999999999986</v>
      </c>
      <c r="AD365" s="145">
        <v>115.6</v>
      </c>
      <c r="AE365" s="142">
        <v>94.800000000000011</v>
      </c>
      <c r="AF365" s="176">
        <v>127.1</v>
      </c>
      <c r="AG365" s="140"/>
      <c r="AH365" s="142">
        <v>90.81</v>
      </c>
      <c r="AI365" s="176">
        <v>100.3</v>
      </c>
      <c r="AJ365" s="140"/>
      <c r="AK365" s="142">
        <v>111.42999999999999</v>
      </c>
      <c r="AL365" s="181">
        <v>136.6</v>
      </c>
    </row>
    <row r="366" spans="1:38" x14ac:dyDescent="0.35">
      <c r="A366" s="177">
        <v>43359</v>
      </c>
      <c r="B366" s="137">
        <v>460.12</v>
      </c>
      <c r="C366" s="178"/>
      <c r="D366" s="135">
        <v>209.53</v>
      </c>
      <c r="E366" s="132">
        <v>216.75</v>
      </c>
      <c r="F366" s="132">
        <v>267.71000000000004</v>
      </c>
      <c r="G366" s="126">
        <v>155.92000000000002</v>
      </c>
      <c r="H366" s="127">
        <v>156.13</v>
      </c>
      <c r="I366" s="132">
        <v>200.5</v>
      </c>
      <c r="J366" s="127">
        <v>223.24</v>
      </c>
      <c r="K366" s="127">
        <v>237.86</v>
      </c>
      <c r="L366" s="132">
        <v>213.63</v>
      </c>
      <c r="M366" s="169">
        <v>107.5</v>
      </c>
      <c r="N366" s="143">
        <v>135.6</v>
      </c>
      <c r="O366" s="126">
        <v>124.02000000000001</v>
      </c>
      <c r="P366" s="170">
        <v>152.6</v>
      </c>
      <c r="Q366" s="128">
        <v>135.08999999999997</v>
      </c>
      <c r="R366" s="170">
        <v>179.3</v>
      </c>
      <c r="S366" s="166">
        <v>425.51</v>
      </c>
      <c r="T366" s="136">
        <v>230.87</v>
      </c>
      <c r="U366" s="136">
        <v>336.34999999999997</v>
      </c>
      <c r="V366" s="136">
        <v>359.01</v>
      </c>
      <c r="W366" s="145">
        <v>478.1</v>
      </c>
      <c r="X366" s="145">
        <v>623.29999999999995</v>
      </c>
      <c r="Y366" s="145">
        <v>658.66000000000008</v>
      </c>
      <c r="Z366" s="140"/>
      <c r="AA366" s="140"/>
      <c r="AB366" s="140"/>
      <c r="AC366" s="142">
        <v>83.469999999999985</v>
      </c>
      <c r="AD366" s="145">
        <v>115.6</v>
      </c>
      <c r="AE366" s="142">
        <v>94.72</v>
      </c>
      <c r="AF366" s="176">
        <v>127.1</v>
      </c>
      <c r="AG366" s="140"/>
      <c r="AH366" s="142">
        <v>90.75</v>
      </c>
      <c r="AI366" s="176">
        <v>100.3</v>
      </c>
      <c r="AJ366" s="140"/>
      <c r="AK366" s="142">
        <v>111.41999999999999</v>
      </c>
      <c r="AL366" s="181">
        <v>136.6</v>
      </c>
    </row>
    <row r="367" spans="1:38" x14ac:dyDescent="0.35">
      <c r="A367" s="177">
        <v>43391</v>
      </c>
      <c r="B367" s="137">
        <v>460.11</v>
      </c>
      <c r="C367" s="178"/>
      <c r="D367" s="135">
        <v>209.23</v>
      </c>
      <c r="E367" s="132">
        <v>216.5</v>
      </c>
      <c r="F367" s="132">
        <v>267.65000000000003</v>
      </c>
      <c r="G367" s="126">
        <v>155.71</v>
      </c>
      <c r="H367" s="127">
        <v>155.95000000000002</v>
      </c>
      <c r="I367" s="132">
        <v>200.5</v>
      </c>
      <c r="J367" s="127">
        <v>223.07</v>
      </c>
      <c r="K367" s="127">
        <v>236.01</v>
      </c>
      <c r="L367" s="132">
        <v>213.24</v>
      </c>
      <c r="M367" s="169">
        <v>107.5</v>
      </c>
      <c r="N367" s="143">
        <v>135.6</v>
      </c>
      <c r="O367" s="126">
        <v>123.79</v>
      </c>
      <c r="P367" s="170">
        <v>152.6</v>
      </c>
      <c r="Q367" s="128">
        <v>134.69999999999999</v>
      </c>
      <c r="R367" s="170">
        <v>179.3</v>
      </c>
      <c r="S367" s="166">
        <v>425.52</v>
      </c>
      <c r="T367" s="136">
        <v>230.66000000000003</v>
      </c>
      <c r="U367" s="136">
        <v>336.36999999999995</v>
      </c>
      <c r="V367" s="136">
        <v>357.62</v>
      </c>
      <c r="W367" s="145">
        <v>478.1</v>
      </c>
      <c r="X367" s="145">
        <v>623.29999999999995</v>
      </c>
      <c r="Y367" s="145">
        <v>658.48</v>
      </c>
      <c r="Z367" s="140"/>
      <c r="AA367" s="140"/>
      <c r="AB367" s="140"/>
      <c r="AC367" s="142">
        <v>83.57</v>
      </c>
      <c r="AD367" s="145">
        <v>115.6</v>
      </c>
      <c r="AE367" s="142">
        <v>94.68</v>
      </c>
      <c r="AF367" s="176">
        <v>127.1</v>
      </c>
      <c r="AG367" s="140"/>
      <c r="AH367" s="142">
        <v>90.69</v>
      </c>
      <c r="AI367" s="176">
        <v>100.3</v>
      </c>
      <c r="AJ367" s="140"/>
      <c r="AK367" s="142">
        <v>111.32</v>
      </c>
      <c r="AL367" s="181">
        <v>136.6</v>
      </c>
    </row>
    <row r="368" spans="1:38" x14ac:dyDescent="0.35">
      <c r="A368" s="177">
        <v>43432</v>
      </c>
      <c r="B368" s="137">
        <v>460.25000000000006</v>
      </c>
      <c r="C368" s="178"/>
      <c r="D368" s="135">
        <v>209.34</v>
      </c>
      <c r="E368" s="132">
        <v>216.60999999999999</v>
      </c>
      <c r="F368" s="132">
        <v>268.31</v>
      </c>
      <c r="G368" s="126">
        <v>155.81</v>
      </c>
      <c r="H368" s="127">
        <v>155.95000000000002</v>
      </c>
      <c r="I368" s="132">
        <v>211.59</v>
      </c>
      <c r="J368" s="127">
        <v>222.93</v>
      </c>
      <c r="K368" s="127">
        <v>234.11</v>
      </c>
      <c r="L368" s="132">
        <v>212.8</v>
      </c>
      <c r="M368" s="129">
        <v>108.69000000000001</v>
      </c>
      <c r="N368" s="143">
        <v>135.6</v>
      </c>
      <c r="O368" s="126">
        <v>123.57000000000001</v>
      </c>
      <c r="P368" s="170">
        <v>152.6</v>
      </c>
      <c r="Q368" s="128">
        <v>134.31</v>
      </c>
      <c r="R368" s="170">
        <v>179.3</v>
      </c>
      <c r="S368" s="166">
        <v>425.41999999999996</v>
      </c>
      <c r="T368" s="136">
        <v>230.73000000000002</v>
      </c>
      <c r="U368" s="136">
        <v>336.39</v>
      </c>
      <c r="V368" s="136">
        <v>360.28000000000003</v>
      </c>
      <c r="W368" s="145">
        <v>478.1</v>
      </c>
      <c r="X368" s="145">
        <v>623.29999999999995</v>
      </c>
      <c r="Y368" s="145">
        <v>658.47</v>
      </c>
      <c r="Z368" s="140"/>
      <c r="AA368" s="140"/>
      <c r="AB368" s="140"/>
      <c r="AC368" s="142">
        <v>83.489999999999981</v>
      </c>
      <c r="AD368" s="145">
        <v>115.6</v>
      </c>
      <c r="AE368" s="142">
        <v>94.610000000000014</v>
      </c>
      <c r="AF368" s="176">
        <v>127.1</v>
      </c>
      <c r="AG368" s="140"/>
      <c r="AH368" s="142">
        <v>90.799999999999983</v>
      </c>
      <c r="AI368" s="176">
        <v>100.3</v>
      </c>
      <c r="AJ368" s="140"/>
      <c r="AK368" s="142">
        <v>111.22999999999999</v>
      </c>
      <c r="AL368" s="181">
        <v>136.6</v>
      </c>
    </row>
    <row r="369" spans="1:38" x14ac:dyDescent="0.35">
      <c r="A369" s="177">
        <v>43454</v>
      </c>
      <c r="B369" s="137">
        <v>460.21000000000004</v>
      </c>
      <c r="C369" s="178"/>
      <c r="D369" s="135">
        <v>209.51</v>
      </c>
      <c r="E369" s="132">
        <v>216.92</v>
      </c>
      <c r="F369" s="132">
        <v>268.31</v>
      </c>
      <c r="G369" s="126">
        <v>157.42000000000002</v>
      </c>
      <c r="H369" s="127">
        <v>156.88</v>
      </c>
      <c r="I369" s="132">
        <v>212.60000000000002</v>
      </c>
      <c r="J369" s="127">
        <v>223.04000000000002</v>
      </c>
      <c r="K369" s="127">
        <v>233.67000000000002</v>
      </c>
      <c r="L369" s="132">
        <v>212.67000000000002</v>
      </c>
      <c r="M369" s="129">
        <v>108.65</v>
      </c>
      <c r="N369" s="143">
        <v>135.6</v>
      </c>
      <c r="O369" s="126">
        <v>123.5</v>
      </c>
      <c r="P369" s="170">
        <v>152.6</v>
      </c>
      <c r="Q369" s="128">
        <v>134.04999999999998</v>
      </c>
      <c r="R369" s="170">
        <v>179.3</v>
      </c>
      <c r="S369" s="166">
        <v>433.24</v>
      </c>
      <c r="T369" s="136">
        <v>230.63000000000002</v>
      </c>
      <c r="U369" s="136">
        <v>336.42999999999995</v>
      </c>
      <c r="V369" s="136">
        <v>358.04</v>
      </c>
      <c r="W369" s="145">
        <v>478.1</v>
      </c>
      <c r="X369" s="145">
        <v>623.29999999999995</v>
      </c>
      <c r="Y369" s="145">
        <v>658.42000000000007</v>
      </c>
      <c r="Z369" s="140"/>
      <c r="AA369" s="140"/>
      <c r="AB369" s="140"/>
      <c r="AC369" s="142">
        <v>83.489999999999981</v>
      </c>
      <c r="AD369" s="145">
        <v>115.6</v>
      </c>
      <c r="AE369" s="142">
        <v>94.640000000000015</v>
      </c>
      <c r="AF369" s="176">
        <v>127.1</v>
      </c>
      <c r="AG369" s="140"/>
      <c r="AH369" s="142">
        <v>90.52</v>
      </c>
      <c r="AI369" s="176">
        <v>100.3</v>
      </c>
      <c r="AJ369" s="140"/>
      <c r="AK369" s="142">
        <v>111.22</v>
      </c>
      <c r="AL369" s="181">
        <v>136.6</v>
      </c>
    </row>
    <row r="370" spans="1:38" x14ac:dyDescent="0.35">
      <c r="A370" s="177">
        <v>43489</v>
      </c>
      <c r="B370" s="137">
        <v>460.20000000000005</v>
      </c>
      <c r="C370" s="178"/>
      <c r="D370" s="135">
        <v>210.04</v>
      </c>
      <c r="E370" s="132">
        <v>215.74</v>
      </c>
      <c r="F370" s="132">
        <v>270.34000000000003</v>
      </c>
      <c r="G370" s="126">
        <v>160.65</v>
      </c>
      <c r="H370" s="127">
        <v>157.98000000000002</v>
      </c>
      <c r="I370" s="132">
        <v>212.85000000000002</v>
      </c>
      <c r="J370" s="127">
        <v>224.51000000000002</v>
      </c>
      <c r="K370" s="127">
        <v>235.82</v>
      </c>
      <c r="L370" s="132">
        <v>213.83</v>
      </c>
      <c r="M370" s="129">
        <v>108.67000000000002</v>
      </c>
      <c r="N370" s="143">
        <v>135.6</v>
      </c>
      <c r="O370" s="126">
        <v>123.75</v>
      </c>
      <c r="P370" s="170">
        <v>152.6</v>
      </c>
      <c r="Q370" s="128">
        <v>136.01999999999998</v>
      </c>
      <c r="R370" s="170">
        <v>179.3</v>
      </c>
      <c r="S370" s="166">
        <v>461.03</v>
      </c>
      <c r="T370" s="136">
        <v>230.44000000000003</v>
      </c>
      <c r="U370" s="136">
        <v>341.34</v>
      </c>
      <c r="V370" s="136">
        <v>359.05</v>
      </c>
      <c r="W370" s="145">
        <v>478.1</v>
      </c>
      <c r="X370" s="145">
        <v>623.29999999999995</v>
      </c>
      <c r="Y370" s="145">
        <v>658.47</v>
      </c>
      <c r="Z370" s="140"/>
      <c r="AA370" s="140"/>
      <c r="AB370" s="140"/>
      <c r="AC370" s="142">
        <v>87.529999999999987</v>
      </c>
      <c r="AD370" s="145">
        <v>115.6</v>
      </c>
      <c r="AE370" s="142">
        <v>94.730000000000018</v>
      </c>
      <c r="AF370" s="176">
        <v>127.1</v>
      </c>
      <c r="AG370" s="140"/>
      <c r="AH370" s="142">
        <v>90.71</v>
      </c>
      <c r="AI370" s="176">
        <v>100.3</v>
      </c>
      <c r="AJ370" s="140"/>
      <c r="AK370" s="142">
        <v>111.28999999999999</v>
      </c>
      <c r="AL370" s="181">
        <v>136.6</v>
      </c>
    </row>
    <row r="371" spans="1:38" x14ac:dyDescent="0.35">
      <c r="A371" s="177">
        <v>43518</v>
      </c>
      <c r="B371" s="137">
        <v>460.30000000000007</v>
      </c>
      <c r="C371" s="178"/>
      <c r="D371" s="135">
        <v>210.81</v>
      </c>
      <c r="E371" s="132">
        <v>218.54999999999998</v>
      </c>
      <c r="F371" s="132">
        <v>271.60000000000002</v>
      </c>
      <c r="G371" s="126">
        <v>163.9</v>
      </c>
      <c r="H371" s="127">
        <v>159.44</v>
      </c>
      <c r="I371" s="132">
        <v>213.24</v>
      </c>
      <c r="J371" s="127">
        <v>226.09</v>
      </c>
      <c r="K371" s="127">
        <v>239.55</v>
      </c>
      <c r="L371" s="132">
        <v>214.9</v>
      </c>
      <c r="M371" s="129">
        <v>109.19000000000001</v>
      </c>
      <c r="N371" s="135">
        <v>149.12</v>
      </c>
      <c r="O371" s="126">
        <v>125.17000000000002</v>
      </c>
      <c r="P371" s="170">
        <v>152.6</v>
      </c>
      <c r="Q371" s="128">
        <v>140.44</v>
      </c>
      <c r="R371" s="170">
        <v>179.3</v>
      </c>
      <c r="S371" s="166">
        <v>462.21999999999997</v>
      </c>
      <c r="T371" s="136">
        <v>230.89000000000001</v>
      </c>
      <c r="U371" s="136">
        <v>340.72999999999996</v>
      </c>
      <c r="V371" s="136">
        <v>357.94</v>
      </c>
      <c r="W371" s="145">
        <v>478.1</v>
      </c>
      <c r="X371" s="145">
        <v>623.29999999999995</v>
      </c>
      <c r="Y371" s="145">
        <v>658.93000000000006</v>
      </c>
      <c r="Z371" s="140"/>
      <c r="AA371" s="140"/>
      <c r="AB371" s="140"/>
      <c r="AC371" s="142">
        <v>104.60999999999999</v>
      </c>
      <c r="AD371" s="145">
        <v>115.6</v>
      </c>
      <c r="AE371" s="142">
        <v>95.15</v>
      </c>
      <c r="AF371" s="176">
        <v>127.1</v>
      </c>
      <c r="AG371" s="140"/>
      <c r="AH371" s="142">
        <v>90.22999999999999</v>
      </c>
      <c r="AI371" s="176">
        <v>100.3</v>
      </c>
      <c r="AJ371" s="140"/>
      <c r="AK371" s="142">
        <v>111.69999999999999</v>
      </c>
      <c r="AL371" s="181">
        <v>136.6</v>
      </c>
    </row>
    <row r="372" spans="1:38" x14ac:dyDescent="0.35">
      <c r="A372" s="177">
        <v>43543</v>
      </c>
      <c r="B372" s="137">
        <v>460.38000000000005</v>
      </c>
      <c r="C372" s="178"/>
      <c r="D372" s="135">
        <v>211.25</v>
      </c>
      <c r="E372" s="132">
        <v>218.91</v>
      </c>
      <c r="F372" s="132">
        <v>271.98</v>
      </c>
      <c r="G372" s="126">
        <v>161.59</v>
      </c>
      <c r="H372" s="127">
        <v>159.10000000000002</v>
      </c>
      <c r="I372" s="132">
        <v>211.55</v>
      </c>
      <c r="J372" s="127">
        <v>226.46</v>
      </c>
      <c r="K372" s="127">
        <v>240.69</v>
      </c>
      <c r="L372" s="132">
        <v>215.71</v>
      </c>
      <c r="M372" s="129">
        <v>110.53</v>
      </c>
      <c r="N372" s="135">
        <v>146.93</v>
      </c>
      <c r="O372" s="126">
        <v>126.58000000000001</v>
      </c>
      <c r="P372" s="170">
        <v>152.6</v>
      </c>
      <c r="Q372" s="128">
        <v>145.08999999999997</v>
      </c>
      <c r="R372" s="170">
        <v>179.3</v>
      </c>
      <c r="S372" s="166">
        <v>461.9</v>
      </c>
      <c r="T372" s="136">
        <v>232.83</v>
      </c>
      <c r="U372" s="136">
        <v>339.36999999999995</v>
      </c>
      <c r="V372" s="136">
        <v>358.85</v>
      </c>
      <c r="W372" s="145">
        <v>478.68</v>
      </c>
      <c r="X372" s="145">
        <v>623.29999999999995</v>
      </c>
      <c r="Y372" s="145">
        <v>658.82</v>
      </c>
      <c r="Z372" s="140"/>
      <c r="AA372" s="140"/>
      <c r="AB372" s="140"/>
      <c r="AC372" s="142">
        <v>90.389999999999986</v>
      </c>
      <c r="AD372" s="145">
        <v>115.6</v>
      </c>
      <c r="AE372" s="142">
        <v>95.350000000000009</v>
      </c>
      <c r="AF372" s="176">
        <v>127.1</v>
      </c>
      <c r="AG372" s="140"/>
      <c r="AH372" s="142">
        <v>91.44</v>
      </c>
      <c r="AI372" s="176">
        <v>100.3</v>
      </c>
      <c r="AJ372" s="140"/>
      <c r="AK372" s="142">
        <v>112.52</v>
      </c>
      <c r="AL372" s="181">
        <v>136.6</v>
      </c>
    </row>
    <row r="373" spans="1:38" x14ac:dyDescent="0.35">
      <c r="A373" s="177">
        <v>43572</v>
      </c>
      <c r="B373" s="137">
        <v>460.40000000000003</v>
      </c>
      <c r="C373" s="178"/>
      <c r="D373" s="135">
        <v>210.94</v>
      </c>
      <c r="E373" s="132">
        <v>218.41</v>
      </c>
      <c r="F373" s="132">
        <v>270.94</v>
      </c>
      <c r="G373" s="126">
        <v>158.32000000000002</v>
      </c>
      <c r="H373" s="127">
        <v>157.55000000000001</v>
      </c>
      <c r="I373" s="132">
        <v>202.93</v>
      </c>
      <c r="J373" s="127">
        <v>225.29000000000002</v>
      </c>
      <c r="K373" s="127">
        <v>239.01</v>
      </c>
      <c r="L373" s="132">
        <v>213.5</v>
      </c>
      <c r="M373" s="129">
        <v>110.9</v>
      </c>
      <c r="N373" s="145">
        <v>143.84</v>
      </c>
      <c r="O373" s="126">
        <v>127.86000000000001</v>
      </c>
      <c r="P373" s="170">
        <v>152.6</v>
      </c>
      <c r="Q373" s="128">
        <v>147.16</v>
      </c>
      <c r="R373" s="170">
        <v>179.3</v>
      </c>
      <c r="S373" s="166">
        <v>460.41999999999996</v>
      </c>
      <c r="T373" s="136">
        <v>233.44000000000003</v>
      </c>
      <c r="U373" s="136">
        <v>336.96999999999997</v>
      </c>
      <c r="V373" s="136">
        <v>359.84000000000003</v>
      </c>
      <c r="W373" s="145">
        <v>478.1</v>
      </c>
      <c r="X373" s="145">
        <v>623.29999999999995</v>
      </c>
      <c r="Y373" s="145">
        <v>658.95</v>
      </c>
      <c r="Z373" s="140"/>
      <c r="AA373" s="140"/>
      <c r="AB373" s="140"/>
      <c r="AC373" s="142">
        <v>83.929999999999978</v>
      </c>
      <c r="AD373" s="145">
        <v>115.6</v>
      </c>
      <c r="AE373" s="142">
        <v>95.4</v>
      </c>
      <c r="AF373" s="176">
        <v>127.1</v>
      </c>
      <c r="AG373" s="140"/>
      <c r="AH373" s="142">
        <v>90.579999999999984</v>
      </c>
      <c r="AI373" s="176">
        <v>100.3</v>
      </c>
      <c r="AJ373" s="140"/>
      <c r="AK373" s="142">
        <v>113.53999999999999</v>
      </c>
      <c r="AL373" s="181">
        <v>136.6</v>
      </c>
    </row>
    <row r="374" spans="1:38" x14ac:dyDescent="0.35">
      <c r="A374" s="177">
        <v>43602</v>
      </c>
      <c r="B374" s="137">
        <v>460.48</v>
      </c>
      <c r="C374" s="178"/>
      <c r="D374" s="135">
        <v>211.18</v>
      </c>
      <c r="E374" s="132">
        <v>218.37</v>
      </c>
      <c r="F374" s="132">
        <v>271.15000000000003</v>
      </c>
      <c r="G374" s="126">
        <v>157.26000000000002</v>
      </c>
      <c r="H374" s="127">
        <v>157.08000000000001</v>
      </c>
      <c r="I374" s="132">
        <v>212.54000000000002</v>
      </c>
      <c r="J374" s="127">
        <v>224.72</v>
      </c>
      <c r="K374" s="127">
        <v>237.59</v>
      </c>
      <c r="L374" s="132">
        <v>212.93</v>
      </c>
      <c r="M374" s="129">
        <v>110.76000000000002</v>
      </c>
      <c r="N374" s="143">
        <v>135.6</v>
      </c>
      <c r="O374" s="126">
        <v>128.93</v>
      </c>
      <c r="P374" s="170">
        <v>152.6</v>
      </c>
      <c r="Q374" s="128">
        <v>147.22999999999999</v>
      </c>
      <c r="R374" s="170">
        <v>179.3</v>
      </c>
      <c r="S374" s="166">
        <v>462.94</v>
      </c>
      <c r="T374" s="136">
        <v>234.41000000000003</v>
      </c>
      <c r="U374" s="136">
        <v>336.84999999999997</v>
      </c>
      <c r="V374" s="136">
        <v>361.66</v>
      </c>
      <c r="W374" s="145">
        <v>478.1</v>
      </c>
      <c r="X374" s="145">
        <v>623.29999999999995</v>
      </c>
      <c r="Y374" s="145">
        <v>659.1</v>
      </c>
      <c r="Z374" s="140"/>
      <c r="AA374" s="140"/>
      <c r="AB374" s="140"/>
      <c r="AC374" s="142">
        <v>83.719999999999985</v>
      </c>
      <c r="AD374" s="145">
        <v>115.6</v>
      </c>
      <c r="AE374" s="142">
        <v>95.37</v>
      </c>
      <c r="AF374" s="176">
        <v>127.1</v>
      </c>
      <c r="AG374" s="140"/>
      <c r="AH374" s="142">
        <v>91.199999999999989</v>
      </c>
      <c r="AI374" s="176">
        <v>100.3</v>
      </c>
      <c r="AJ374" s="140"/>
      <c r="AK374" s="142">
        <v>114.44999999999999</v>
      </c>
      <c r="AL374" s="181">
        <v>136.6</v>
      </c>
    </row>
    <row r="375" spans="1:38" x14ac:dyDescent="0.35">
      <c r="A375" s="177">
        <v>43643</v>
      </c>
      <c r="B375" s="137">
        <v>460.50000000000006</v>
      </c>
      <c r="C375" s="178"/>
      <c r="D375" s="135">
        <v>210.89</v>
      </c>
      <c r="E375" s="132">
        <v>218.35</v>
      </c>
      <c r="F375" s="132">
        <v>270.96000000000004</v>
      </c>
      <c r="G375" s="126">
        <v>156.53</v>
      </c>
      <c r="H375" s="127">
        <v>156.64000000000001</v>
      </c>
      <c r="I375" s="132">
        <v>211.48000000000002</v>
      </c>
      <c r="J375" s="127">
        <v>224.13</v>
      </c>
      <c r="K375" s="127">
        <v>236.46</v>
      </c>
      <c r="L375" s="132">
        <v>212.54000000000002</v>
      </c>
      <c r="M375" s="129">
        <v>110.08000000000001</v>
      </c>
      <c r="N375" s="143">
        <v>135.6</v>
      </c>
      <c r="O375" s="126">
        <v>129.64000000000001</v>
      </c>
      <c r="P375" s="170">
        <v>152.6</v>
      </c>
      <c r="Q375" s="128">
        <v>147.04</v>
      </c>
      <c r="R375" s="170">
        <v>179.3</v>
      </c>
      <c r="S375" s="166">
        <v>454.4</v>
      </c>
      <c r="T375" s="136">
        <v>235.12</v>
      </c>
      <c r="U375" s="136">
        <v>336.82</v>
      </c>
      <c r="V375" s="136">
        <v>359.51</v>
      </c>
      <c r="W375" s="145">
        <v>478.1</v>
      </c>
      <c r="X375" s="145">
        <v>623.29999999999995</v>
      </c>
      <c r="Y375" s="145">
        <v>659.2</v>
      </c>
      <c r="Z375" s="140"/>
      <c r="AA375" s="140"/>
      <c r="AB375" s="140"/>
      <c r="AC375" s="142">
        <v>84.079999999999984</v>
      </c>
      <c r="AD375" s="145">
        <v>115.6</v>
      </c>
      <c r="AE375" s="142">
        <v>95.170000000000016</v>
      </c>
      <c r="AF375" s="176">
        <v>127.1</v>
      </c>
      <c r="AG375" s="140"/>
      <c r="AH375" s="142">
        <v>91.289999999999992</v>
      </c>
      <c r="AI375" s="176">
        <v>100.3</v>
      </c>
      <c r="AJ375" s="140"/>
      <c r="AK375" s="142">
        <v>115.25999999999999</v>
      </c>
      <c r="AL375" s="181">
        <v>136.6</v>
      </c>
    </row>
    <row r="376" spans="1:38" x14ac:dyDescent="0.35">
      <c r="A376" s="177">
        <v>43672</v>
      </c>
      <c r="B376" s="137">
        <v>460.56000000000006</v>
      </c>
      <c r="C376" s="178"/>
      <c r="D376" s="135">
        <v>210.73999999999998</v>
      </c>
      <c r="E376" s="132">
        <v>217.95999999999998</v>
      </c>
      <c r="F376" s="132">
        <v>270.75</v>
      </c>
      <c r="G376" s="126">
        <v>156.02000000000001</v>
      </c>
      <c r="H376" s="127">
        <v>156.19</v>
      </c>
      <c r="I376" s="132">
        <v>206.15</v>
      </c>
      <c r="J376" s="127">
        <v>223.73000000000002</v>
      </c>
      <c r="K376" s="127">
        <v>235.49</v>
      </c>
      <c r="L376" s="132">
        <v>212.37</v>
      </c>
      <c r="M376" s="129">
        <v>110.00000000000001</v>
      </c>
      <c r="N376" s="143">
        <v>135.6</v>
      </c>
      <c r="O376" s="126">
        <v>129.77000000000001</v>
      </c>
      <c r="P376" s="170">
        <v>152.6</v>
      </c>
      <c r="Q376" s="128">
        <v>146.64999999999998</v>
      </c>
      <c r="R376" s="170">
        <v>179.3</v>
      </c>
      <c r="S376" s="166">
        <v>425.74</v>
      </c>
      <c r="T376" s="136">
        <v>235.55</v>
      </c>
      <c r="U376" s="136">
        <v>336.88</v>
      </c>
      <c r="V376" s="136">
        <v>359.49</v>
      </c>
      <c r="W376" s="145">
        <v>478.1</v>
      </c>
      <c r="X376" s="145">
        <v>623.29999999999995</v>
      </c>
      <c r="Y376" s="145">
        <v>658.66000000000008</v>
      </c>
      <c r="Z376" s="140"/>
      <c r="AA376" s="140"/>
      <c r="AB376" s="140"/>
      <c r="AC376" s="142">
        <v>84.1</v>
      </c>
      <c r="AD376" s="145">
        <v>115.6</v>
      </c>
      <c r="AE376" s="142">
        <v>94.890000000000015</v>
      </c>
      <c r="AF376" s="176">
        <v>127.1</v>
      </c>
      <c r="AG376" s="140"/>
      <c r="AH376" s="142">
        <v>91.5</v>
      </c>
      <c r="AI376" s="176">
        <v>100.3</v>
      </c>
      <c r="AJ376" s="140"/>
      <c r="AK376" s="142">
        <v>115.44</v>
      </c>
      <c r="AL376" s="181">
        <v>136.6</v>
      </c>
    </row>
    <row r="377" spans="1:38" x14ac:dyDescent="0.35">
      <c r="A377" s="177">
        <v>43702</v>
      </c>
      <c r="B377" s="137">
        <v>460.52000000000004</v>
      </c>
      <c r="C377" s="178"/>
      <c r="D377" s="135">
        <v>210.6</v>
      </c>
      <c r="E377" s="132">
        <v>217.87</v>
      </c>
      <c r="F377" s="132">
        <v>270.58000000000004</v>
      </c>
      <c r="G377" s="126">
        <v>155.93</v>
      </c>
      <c r="H377" s="127">
        <v>156.11000000000001</v>
      </c>
      <c r="I377" s="132">
        <v>200.5</v>
      </c>
      <c r="J377" s="127">
        <v>223.42000000000002</v>
      </c>
      <c r="K377" s="127">
        <v>234.43</v>
      </c>
      <c r="L377" s="132">
        <v>212.32</v>
      </c>
      <c r="M377" s="129">
        <v>109.42000000000002</v>
      </c>
      <c r="N377" s="143">
        <v>135.6</v>
      </c>
      <c r="O377" s="126">
        <v>129.78</v>
      </c>
      <c r="P377" s="170">
        <v>152.6</v>
      </c>
      <c r="Q377" s="128">
        <v>145.88</v>
      </c>
      <c r="R377" s="170">
        <v>179.3</v>
      </c>
      <c r="S377" s="174">
        <v>427</v>
      </c>
      <c r="T377" s="136">
        <v>235.90000000000003</v>
      </c>
      <c r="U377" s="136">
        <v>337.07</v>
      </c>
      <c r="V377" s="136">
        <v>359.23</v>
      </c>
      <c r="W377" s="145">
        <v>478.1</v>
      </c>
      <c r="X377" s="145">
        <v>623.29999999999995</v>
      </c>
      <c r="Y377" s="145">
        <v>659.43000000000006</v>
      </c>
      <c r="Z377" s="140"/>
      <c r="AA377" s="140"/>
      <c r="AB377" s="140"/>
      <c r="AC377" s="142">
        <v>83.999999999999986</v>
      </c>
      <c r="AD377" s="145">
        <v>115.6</v>
      </c>
      <c r="AE377" s="142">
        <v>94.760000000000019</v>
      </c>
      <c r="AF377" s="176">
        <v>127.1</v>
      </c>
      <c r="AG377" s="140"/>
      <c r="AH377" s="142">
        <v>91.649999999999991</v>
      </c>
      <c r="AI377" s="176">
        <v>100.3</v>
      </c>
      <c r="AJ377" s="140"/>
      <c r="AK377" s="142">
        <v>115.72999999999999</v>
      </c>
      <c r="AL377" s="181">
        <v>136.6</v>
      </c>
    </row>
    <row r="378" spans="1:38" x14ac:dyDescent="0.35">
      <c r="A378" s="177">
        <v>43726</v>
      </c>
      <c r="B378" s="137">
        <v>461.01000000000005</v>
      </c>
      <c r="C378" s="178"/>
      <c r="D378" s="135">
        <v>210.56</v>
      </c>
      <c r="E378" s="132">
        <v>217.91</v>
      </c>
      <c r="F378" s="132">
        <v>270.46000000000004</v>
      </c>
      <c r="G378" s="126">
        <v>155.88</v>
      </c>
      <c r="H378" s="127">
        <v>156.14000000000001</v>
      </c>
      <c r="I378" s="132">
        <v>201.5</v>
      </c>
      <c r="J378" s="127">
        <v>223.27</v>
      </c>
      <c r="K378" s="127">
        <v>233.68</v>
      </c>
      <c r="L378" s="132">
        <v>212.36</v>
      </c>
      <c r="M378" s="129">
        <v>109.28</v>
      </c>
      <c r="N378" s="143">
        <v>135.6</v>
      </c>
      <c r="O378" s="126">
        <v>129.65</v>
      </c>
      <c r="P378" s="170">
        <v>152.6</v>
      </c>
      <c r="Q378" s="128">
        <v>145.15999999999997</v>
      </c>
      <c r="R378" s="170">
        <v>179.3</v>
      </c>
      <c r="S378" s="174">
        <v>427</v>
      </c>
      <c r="T378" s="136">
        <v>236.32000000000002</v>
      </c>
      <c r="U378" s="136">
        <v>337.17999999999995</v>
      </c>
      <c r="V378" s="136">
        <v>360.82000000000005</v>
      </c>
      <c r="W378" s="145">
        <v>478.1</v>
      </c>
      <c r="X378" s="145">
        <v>623.29999999999995</v>
      </c>
      <c r="Y378" s="145">
        <v>659.46</v>
      </c>
      <c r="Z378" s="140"/>
      <c r="AA378" s="140"/>
      <c r="AB378" s="140"/>
      <c r="AC378" s="142">
        <v>84.749999999999986</v>
      </c>
      <c r="AD378" s="145">
        <v>115.6</v>
      </c>
      <c r="AE378" s="142">
        <v>94.670000000000016</v>
      </c>
      <c r="AF378" s="176">
        <v>127.1</v>
      </c>
      <c r="AG378" s="140"/>
      <c r="AH378" s="142">
        <v>91.639999999999986</v>
      </c>
      <c r="AI378" s="176">
        <v>100.3</v>
      </c>
      <c r="AJ378" s="140"/>
      <c r="AK378" s="142">
        <v>115.81</v>
      </c>
      <c r="AL378" s="181">
        <v>136.6</v>
      </c>
    </row>
    <row r="379" spans="1:38" x14ac:dyDescent="0.35">
      <c r="A379" s="177">
        <v>43752</v>
      </c>
      <c r="B379" s="137">
        <v>460.83000000000004</v>
      </c>
      <c r="C379" s="178"/>
      <c r="D379" s="135">
        <v>210.47</v>
      </c>
      <c r="E379" s="132">
        <v>216.72</v>
      </c>
      <c r="F379" s="132">
        <v>270.37</v>
      </c>
      <c r="G379" s="126">
        <v>156</v>
      </c>
      <c r="H379" s="127">
        <v>156.19</v>
      </c>
      <c r="I379" s="132">
        <v>210.78</v>
      </c>
      <c r="J379" s="127">
        <v>223.13</v>
      </c>
      <c r="K379" s="127">
        <v>233.12</v>
      </c>
      <c r="L379" s="132">
        <v>212.25</v>
      </c>
      <c r="M379" s="129">
        <v>109.14000000000001</v>
      </c>
      <c r="N379" s="143">
        <v>135.6</v>
      </c>
      <c r="O379" s="126">
        <v>129.41000000000003</v>
      </c>
      <c r="P379" s="170">
        <v>152.6</v>
      </c>
      <c r="Q379" s="128">
        <v>144.27999999999997</v>
      </c>
      <c r="R379" s="170">
        <v>179.3</v>
      </c>
      <c r="S379" s="174">
        <v>427</v>
      </c>
      <c r="T379" s="136">
        <v>236.59000000000003</v>
      </c>
      <c r="U379" s="136">
        <v>337.28999999999996</v>
      </c>
      <c r="V379" s="136">
        <v>359.81</v>
      </c>
      <c r="W379" s="145">
        <v>478.1</v>
      </c>
      <c r="X379" s="145">
        <v>623.29999999999995</v>
      </c>
      <c r="Y379" s="145">
        <v>659.53000000000009</v>
      </c>
      <c r="Z379" s="140"/>
      <c r="AA379" s="140"/>
      <c r="AB379" s="140"/>
      <c r="AC379" s="142">
        <v>85.169999999999987</v>
      </c>
      <c r="AD379" s="145">
        <v>115.6</v>
      </c>
      <c r="AE379" s="142">
        <v>94.550000000000011</v>
      </c>
      <c r="AF379" s="176">
        <v>127.1</v>
      </c>
      <c r="AG379" s="140"/>
      <c r="AH379" s="142">
        <v>91.56</v>
      </c>
      <c r="AI379" s="176">
        <v>100.3</v>
      </c>
      <c r="AJ379" s="140"/>
      <c r="AK379" s="142">
        <v>115.83</v>
      </c>
      <c r="AL379" s="181">
        <v>136.6</v>
      </c>
    </row>
    <row r="380" spans="1:38" x14ac:dyDescent="0.35">
      <c r="A380" s="177">
        <v>43783</v>
      </c>
      <c r="B380" s="137">
        <v>460.99</v>
      </c>
      <c r="C380" s="178"/>
      <c r="D380" s="135">
        <v>210.34</v>
      </c>
      <c r="E380" s="132">
        <v>217.69</v>
      </c>
      <c r="F380" s="132">
        <v>268.32</v>
      </c>
      <c r="G380" s="126">
        <v>155.67000000000002</v>
      </c>
      <c r="H380" s="127">
        <v>156.03</v>
      </c>
      <c r="I380" s="132">
        <v>200.5</v>
      </c>
      <c r="J380" s="127">
        <v>223.02</v>
      </c>
      <c r="K380" s="127">
        <v>232.43</v>
      </c>
      <c r="L380" s="132">
        <v>212.14000000000001</v>
      </c>
      <c r="M380" s="129">
        <v>108.97000000000001</v>
      </c>
      <c r="N380" s="143">
        <v>135.6</v>
      </c>
      <c r="O380" s="126">
        <v>129.02000000000001</v>
      </c>
      <c r="P380" s="170">
        <v>152.6</v>
      </c>
      <c r="Q380" s="128">
        <v>143.22999999999999</v>
      </c>
      <c r="R380" s="170">
        <v>179.3</v>
      </c>
      <c r="S380" s="174">
        <v>427</v>
      </c>
      <c r="T380" s="136">
        <v>235.90000000000003</v>
      </c>
      <c r="U380" s="136">
        <v>337.34999999999997</v>
      </c>
      <c r="V380" s="136">
        <v>359.79</v>
      </c>
      <c r="W380" s="145">
        <v>478.1</v>
      </c>
      <c r="X380" s="145">
        <v>623.29999999999995</v>
      </c>
      <c r="Y380" s="145">
        <v>659.37</v>
      </c>
      <c r="Z380" s="140"/>
      <c r="AA380" s="140"/>
      <c r="AB380" s="140"/>
      <c r="AC380" s="142">
        <v>85.529999999999987</v>
      </c>
      <c r="AD380" s="145">
        <v>115.6</v>
      </c>
      <c r="AE380" s="142">
        <v>94.360000000000014</v>
      </c>
      <c r="AF380" s="176">
        <v>127.1</v>
      </c>
      <c r="AG380" s="140"/>
      <c r="AH380" s="142">
        <v>91.57</v>
      </c>
      <c r="AI380" s="176">
        <v>100.3</v>
      </c>
      <c r="AJ380" s="140"/>
      <c r="AK380" s="142">
        <v>115.69</v>
      </c>
      <c r="AL380" s="181">
        <v>136.6</v>
      </c>
    </row>
    <row r="381" spans="1:38" x14ac:dyDescent="0.35">
      <c r="A381" s="130">
        <v>43800</v>
      </c>
      <c r="B381" s="137">
        <v>460.51000000000005</v>
      </c>
      <c r="C381" s="178"/>
      <c r="D381" s="135">
        <v>210.62</v>
      </c>
      <c r="E381" s="132">
        <v>218.24</v>
      </c>
      <c r="F381" s="132">
        <v>268.08000000000004</v>
      </c>
      <c r="G381" s="126">
        <v>156.16000000000003</v>
      </c>
      <c r="H381" s="127">
        <v>156.34</v>
      </c>
      <c r="I381" s="132">
        <v>212.73000000000002</v>
      </c>
      <c r="J381" s="127">
        <v>222.98000000000002</v>
      </c>
      <c r="K381" s="127">
        <v>231.94</v>
      </c>
      <c r="L381" s="132">
        <v>212.04000000000002</v>
      </c>
      <c r="M381" s="129">
        <v>108.77000000000001</v>
      </c>
      <c r="N381" s="143">
        <v>135.6</v>
      </c>
      <c r="O381" s="126">
        <v>128.68</v>
      </c>
      <c r="P381" s="170">
        <v>152.6</v>
      </c>
      <c r="Q381" s="128">
        <v>142.10999999999999</v>
      </c>
      <c r="R381" s="170">
        <v>179.3</v>
      </c>
      <c r="S381" s="166">
        <v>436.16999999999996</v>
      </c>
      <c r="T381" s="136">
        <v>235.21</v>
      </c>
      <c r="U381" s="136">
        <v>337.42999999999995</v>
      </c>
      <c r="V381" s="136">
        <v>360.33000000000004</v>
      </c>
      <c r="W381" s="145">
        <v>478.1</v>
      </c>
      <c r="X381" s="145">
        <v>623.29999999999995</v>
      </c>
      <c r="Y381" s="145">
        <v>659.37</v>
      </c>
      <c r="Z381" s="140"/>
      <c r="AA381" s="140"/>
      <c r="AB381" s="140"/>
      <c r="AC381" s="142">
        <v>86.07</v>
      </c>
      <c r="AD381" s="145">
        <v>115.6</v>
      </c>
      <c r="AE381" s="142">
        <v>94.390000000000015</v>
      </c>
      <c r="AF381" s="176">
        <v>127.1</v>
      </c>
      <c r="AG381" s="140"/>
      <c r="AH381" s="142">
        <v>91.389999999999986</v>
      </c>
      <c r="AI381" s="176">
        <v>100.3</v>
      </c>
      <c r="AJ381" s="140"/>
      <c r="AK381" s="142">
        <v>115.55</v>
      </c>
      <c r="AL381" s="181">
        <v>136.6</v>
      </c>
    </row>
    <row r="382" spans="1:38" x14ac:dyDescent="0.35">
      <c r="A382" s="130">
        <v>43831</v>
      </c>
      <c r="B382" s="137">
        <v>460.55000000000007</v>
      </c>
      <c r="C382" s="178"/>
      <c r="D382" s="135">
        <v>210.81</v>
      </c>
      <c r="E382" s="132">
        <v>218.42</v>
      </c>
      <c r="F382" s="132">
        <v>268.65000000000003</v>
      </c>
      <c r="G382" s="126">
        <v>157.5</v>
      </c>
      <c r="H382" s="127">
        <v>157.02000000000001</v>
      </c>
      <c r="I382" s="132">
        <v>212.81</v>
      </c>
      <c r="J382" s="127">
        <v>223.69</v>
      </c>
      <c r="K382" s="127">
        <v>232.62</v>
      </c>
      <c r="L382" s="132">
        <v>212.51000000000002</v>
      </c>
      <c r="M382" s="129">
        <v>109.18</v>
      </c>
      <c r="N382" s="143">
        <v>135.6</v>
      </c>
      <c r="O382" s="126">
        <v>128.68</v>
      </c>
      <c r="P382" s="170">
        <v>152.6</v>
      </c>
      <c r="Q382" s="128">
        <v>141.97999999999999</v>
      </c>
      <c r="R382" s="170">
        <v>179.3</v>
      </c>
      <c r="S382" s="166">
        <v>449.54999999999995</v>
      </c>
      <c r="T382" s="136">
        <v>235.09000000000003</v>
      </c>
      <c r="U382" s="136">
        <v>337.79999999999995</v>
      </c>
      <c r="V382" s="136">
        <v>360.62</v>
      </c>
      <c r="W382" s="145">
        <v>478.1</v>
      </c>
      <c r="X382" s="145">
        <v>623.29999999999995</v>
      </c>
      <c r="Y382" s="145">
        <v>659.5200000000001</v>
      </c>
      <c r="Z382" s="140"/>
      <c r="AA382" s="140"/>
      <c r="AB382" s="140"/>
      <c r="AC382" s="142">
        <v>84.70999999999998</v>
      </c>
      <c r="AD382" s="145">
        <v>115.6</v>
      </c>
      <c r="AE382" s="142">
        <v>94.52000000000001</v>
      </c>
      <c r="AF382" s="176">
        <v>127.1</v>
      </c>
      <c r="AG382" s="140"/>
      <c r="AH382" s="142">
        <v>91.71</v>
      </c>
      <c r="AI382" s="176">
        <v>100.3</v>
      </c>
      <c r="AJ382" s="140"/>
      <c r="AK382" s="142">
        <v>115.5</v>
      </c>
      <c r="AL382" s="181">
        <v>136.6</v>
      </c>
    </row>
    <row r="383" spans="1:38" x14ac:dyDescent="0.35">
      <c r="A383" s="130">
        <v>43862</v>
      </c>
      <c r="B383" s="137">
        <v>460.51000000000005</v>
      </c>
      <c r="C383" s="178"/>
      <c r="D383" s="135">
        <v>210.89</v>
      </c>
      <c r="E383" s="132">
        <v>218.20999999999998</v>
      </c>
      <c r="F383" s="132">
        <v>268.63</v>
      </c>
      <c r="G383" s="126">
        <v>156.43</v>
      </c>
      <c r="H383" s="127">
        <v>156.42000000000002</v>
      </c>
      <c r="I383" s="132">
        <v>204.3</v>
      </c>
      <c r="J383" s="127">
        <v>223.39000000000001</v>
      </c>
      <c r="K383" s="127">
        <v>232.59</v>
      </c>
      <c r="L383" s="132">
        <v>212.3</v>
      </c>
      <c r="M383" s="129">
        <v>109.25000000000001</v>
      </c>
      <c r="N383" s="143">
        <v>135.6</v>
      </c>
      <c r="O383" s="126">
        <v>128.69</v>
      </c>
      <c r="P383" s="170">
        <v>152.6</v>
      </c>
      <c r="Q383" s="128">
        <v>141.83999999999997</v>
      </c>
      <c r="R383" s="170">
        <v>179.3</v>
      </c>
      <c r="S383" s="166">
        <v>430.59</v>
      </c>
      <c r="T383" s="136">
        <v>235.01000000000002</v>
      </c>
      <c r="U383" s="136">
        <v>337.7</v>
      </c>
      <c r="V383" s="136">
        <v>360.12</v>
      </c>
      <c r="W383" s="145">
        <v>478.1</v>
      </c>
      <c r="X383" s="145">
        <v>623.29999999999995</v>
      </c>
      <c r="Y383" s="145">
        <v>659.79000000000008</v>
      </c>
      <c r="Z383" s="140"/>
      <c r="AA383" s="140"/>
      <c r="AB383" s="140"/>
      <c r="AC383" s="142">
        <v>85.039999999999992</v>
      </c>
      <c r="AD383" s="145">
        <v>115.6</v>
      </c>
      <c r="AE383" s="142">
        <v>94.420000000000016</v>
      </c>
      <c r="AF383" s="176">
        <v>127.1</v>
      </c>
      <c r="AG383" s="140"/>
      <c r="AH383" s="142">
        <v>91.71</v>
      </c>
      <c r="AI383" s="176">
        <v>100.3</v>
      </c>
      <c r="AJ383" s="140"/>
      <c r="AK383" s="142">
        <v>115.55</v>
      </c>
      <c r="AL383" s="181">
        <v>136.6</v>
      </c>
    </row>
    <row r="384" spans="1:38" x14ac:dyDescent="0.35">
      <c r="A384" s="130">
        <v>43891</v>
      </c>
      <c r="B384" s="137">
        <v>460.50000000000006</v>
      </c>
      <c r="C384" s="178"/>
      <c r="D384" s="135">
        <v>210.67</v>
      </c>
      <c r="E384" s="132">
        <v>218.19</v>
      </c>
      <c r="F384" s="132">
        <v>268.97000000000003</v>
      </c>
      <c r="G384" s="126">
        <v>157.07000000000002</v>
      </c>
      <c r="H384" s="127">
        <v>156.33000000000001</v>
      </c>
      <c r="I384" s="132">
        <v>213.3</v>
      </c>
      <c r="J384" s="127">
        <v>223.13</v>
      </c>
      <c r="K384" s="127">
        <v>238.97</v>
      </c>
      <c r="L384" s="132">
        <v>212.4</v>
      </c>
      <c r="M384" s="129">
        <v>109.37</v>
      </c>
      <c r="N384" s="143">
        <v>135.6</v>
      </c>
      <c r="O384" s="126">
        <v>128.70000000000002</v>
      </c>
      <c r="P384" s="170">
        <v>152.6</v>
      </c>
      <c r="Q384" s="128">
        <v>141.51</v>
      </c>
      <c r="R384" s="170">
        <v>179.3</v>
      </c>
      <c r="S384" s="166">
        <v>437.43</v>
      </c>
      <c r="T384" s="136">
        <v>235.23000000000002</v>
      </c>
      <c r="U384" s="136">
        <v>337.73999999999995</v>
      </c>
      <c r="V384" s="136">
        <v>360.87</v>
      </c>
      <c r="W384" s="145">
        <v>478.1</v>
      </c>
      <c r="X384" s="145">
        <v>623.29999999999995</v>
      </c>
      <c r="Y384" s="145">
        <v>659.96</v>
      </c>
      <c r="Z384" s="140"/>
      <c r="AA384" s="140"/>
      <c r="AB384" s="140"/>
      <c r="AC384" s="142">
        <v>85.449999999999989</v>
      </c>
      <c r="AD384" s="145">
        <v>115.6</v>
      </c>
      <c r="AE384" s="142">
        <v>94.440000000000012</v>
      </c>
      <c r="AF384" s="176">
        <v>127.1</v>
      </c>
      <c r="AG384" s="140"/>
      <c r="AH384" s="142">
        <v>91.61999999999999</v>
      </c>
      <c r="AI384" s="176">
        <v>100.3</v>
      </c>
      <c r="AJ384" s="140"/>
      <c r="AK384" s="142">
        <v>115.57</v>
      </c>
      <c r="AL384" s="181">
        <v>136.6</v>
      </c>
    </row>
    <row r="385" spans="1:38" x14ac:dyDescent="0.35">
      <c r="A385" s="130">
        <v>43922</v>
      </c>
      <c r="B385" s="137">
        <v>460.53000000000003</v>
      </c>
      <c r="C385" s="178"/>
      <c r="D385" s="135">
        <v>210.91</v>
      </c>
      <c r="E385" s="132">
        <v>218.93</v>
      </c>
      <c r="F385" s="132">
        <v>269.45</v>
      </c>
      <c r="G385" s="126">
        <v>160.83000000000001</v>
      </c>
      <c r="H385" s="127">
        <v>157.82</v>
      </c>
      <c r="I385" s="132">
        <v>212.82000000000002</v>
      </c>
      <c r="J385" s="127">
        <v>223.37</v>
      </c>
      <c r="K385" s="127">
        <v>239.26</v>
      </c>
      <c r="L385" s="132">
        <v>213.93</v>
      </c>
      <c r="M385" s="129">
        <v>109.73000000000002</v>
      </c>
      <c r="N385" s="145">
        <v>146.39000000000001</v>
      </c>
      <c r="O385" s="126">
        <v>128.79000000000002</v>
      </c>
      <c r="P385" s="170">
        <v>152.6</v>
      </c>
      <c r="Q385" s="128">
        <v>141.56</v>
      </c>
      <c r="R385" s="170">
        <v>179.3</v>
      </c>
      <c r="S385" s="166">
        <v>462.33</v>
      </c>
      <c r="T385" s="136">
        <v>235.16000000000003</v>
      </c>
      <c r="U385" s="136"/>
      <c r="V385" s="136">
        <v>360.52000000000004</v>
      </c>
      <c r="W385" s="145">
        <v>478.1</v>
      </c>
      <c r="X385" s="145">
        <v>623.29999999999995</v>
      </c>
      <c r="Y385" s="145">
        <v>659.90000000000009</v>
      </c>
      <c r="Z385" s="140"/>
      <c r="AA385" s="140"/>
      <c r="AB385" s="140"/>
      <c r="AC385" s="142">
        <v>90.41</v>
      </c>
      <c r="AD385" s="141">
        <v>116.04</v>
      </c>
      <c r="AE385" s="142">
        <v>94.730000000000018</v>
      </c>
      <c r="AF385" s="176">
        <v>127.1</v>
      </c>
      <c r="AG385" s="140"/>
      <c r="AH385" s="142">
        <v>91.75</v>
      </c>
      <c r="AI385" s="176">
        <v>100.3</v>
      </c>
      <c r="AJ385" s="140"/>
      <c r="AK385" s="142">
        <v>115.78</v>
      </c>
      <c r="AL385" s="181">
        <v>136.6</v>
      </c>
    </row>
    <row r="386" spans="1:38" x14ac:dyDescent="0.35">
      <c r="A386" s="130">
        <v>43952</v>
      </c>
      <c r="B386" s="137">
        <v>460.55000000000007</v>
      </c>
      <c r="C386" s="178"/>
      <c r="D386" s="135">
        <v>210.91</v>
      </c>
      <c r="E386" s="132">
        <v>218.82</v>
      </c>
      <c r="F386" s="132">
        <v>269.19</v>
      </c>
      <c r="G386" s="126">
        <v>157.47000000000003</v>
      </c>
      <c r="H386" s="127">
        <v>157.09</v>
      </c>
      <c r="I386" s="132">
        <v>204.73000000000002</v>
      </c>
      <c r="J386" s="127">
        <v>223.79000000000002</v>
      </c>
      <c r="K386" s="127">
        <v>237.43</v>
      </c>
      <c r="L386" s="132">
        <v>213.09</v>
      </c>
      <c r="M386" s="129">
        <v>109.55000000000001</v>
      </c>
      <c r="N386" s="143">
        <v>135.6</v>
      </c>
      <c r="O386" s="126">
        <v>128.89000000000001</v>
      </c>
      <c r="P386" s="170">
        <v>152.6</v>
      </c>
      <c r="Q386" s="128">
        <v>141.95999999999998</v>
      </c>
      <c r="R386" s="170">
        <v>179.3</v>
      </c>
      <c r="S386" s="166">
        <v>425.77</v>
      </c>
      <c r="T386" s="136">
        <v>236.51000000000002</v>
      </c>
      <c r="U386" s="136">
        <v>338.13</v>
      </c>
      <c r="V386" s="136">
        <v>360.27000000000004</v>
      </c>
      <c r="W386" s="145">
        <v>478.1</v>
      </c>
      <c r="X386" s="145">
        <v>623.29999999999995</v>
      </c>
      <c r="Y386" s="145">
        <v>660.18000000000006</v>
      </c>
      <c r="Z386" s="140"/>
      <c r="AA386" s="140"/>
      <c r="AB386" s="140"/>
      <c r="AC386" s="142">
        <v>84.589999999999989</v>
      </c>
      <c r="AD386" s="145">
        <v>115.6</v>
      </c>
      <c r="AE386" s="142">
        <v>94.56</v>
      </c>
      <c r="AF386" s="176">
        <v>127.1</v>
      </c>
      <c r="AG386" s="140"/>
      <c r="AH386" s="142">
        <v>91.84</v>
      </c>
      <c r="AI386" s="176">
        <v>100.3</v>
      </c>
      <c r="AJ386" s="140"/>
      <c r="AK386" s="142">
        <v>115.83</v>
      </c>
      <c r="AL386" s="181">
        <v>136.6</v>
      </c>
    </row>
    <row r="387" spans="1:38" x14ac:dyDescent="0.35">
      <c r="A387" s="130">
        <v>43983</v>
      </c>
      <c r="B387" s="137">
        <v>460.56000000000006</v>
      </c>
      <c r="C387" s="178"/>
      <c r="D387" s="135">
        <v>210.93</v>
      </c>
      <c r="E387" s="132">
        <v>218.54999999999998</v>
      </c>
      <c r="F387" s="132">
        <v>269.11</v>
      </c>
      <c r="G387" s="126">
        <v>156.54000000000002</v>
      </c>
      <c r="H387" s="127">
        <v>156.56</v>
      </c>
      <c r="I387" s="132">
        <v>200.5</v>
      </c>
      <c r="J387" s="127">
        <v>223.65</v>
      </c>
      <c r="K387" s="127">
        <v>235.72</v>
      </c>
      <c r="L387" s="132">
        <v>212.59</v>
      </c>
      <c r="M387" s="129">
        <v>109.39000000000001</v>
      </c>
      <c r="N387" s="143">
        <v>135.6</v>
      </c>
      <c r="O387" s="126">
        <v>128.93</v>
      </c>
      <c r="P387" s="170">
        <v>152.6</v>
      </c>
      <c r="Q387" s="128">
        <v>141.95999999999998</v>
      </c>
      <c r="R387" s="170">
        <v>179.3</v>
      </c>
      <c r="S387" s="174">
        <v>427</v>
      </c>
      <c r="T387" s="136">
        <v>236.81</v>
      </c>
      <c r="U387" s="136">
        <v>338.04999999999995</v>
      </c>
      <c r="V387" s="136">
        <v>361.93</v>
      </c>
      <c r="W387" s="145">
        <v>478.1</v>
      </c>
      <c r="X387" s="145">
        <v>623.29999999999995</v>
      </c>
      <c r="Y387" s="145">
        <v>660.37</v>
      </c>
      <c r="Z387" s="140"/>
      <c r="AA387" s="140"/>
      <c r="AB387" s="140"/>
      <c r="AC387" s="142">
        <v>84.359999999999985</v>
      </c>
      <c r="AD387" s="145">
        <v>115.6</v>
      </c>
      <c r="AE387" s="142">
        <v>94.230000000000018</v>
      </c>
      <c r="AF387" s="176">
        <v>127.1</v>
      </c>
      <c r="AG387" s="140"/>
      <c r="AH387" s="142">
        <v>92.03</v>
      </c>
      <c r="AI387" s="176">
        <v>100.3</v>
      </c>
      <c r="AJ387" s="140"/>
      <c r="AK387" s="142">
        <v>115.97999999999999</v>
      </c>
      <c r="AL387" s="181">
        <v>136.6</v>
      </c>
    </row>
    <row r="388" spans="1:38" x14ac:dyDescent="0.35">
      <c r="A388" s="130">
        <v>44013</v>
      </c>
      <c r="B388" s="137">
        <v>460.56000000000006</v>
      </c>
      <c r="C388" s="178"/>
      <c r="D388" s="135">
        <v>210.75</v>
      </c>
      <c r="E388" s="132">
        <v>218.32999999999998</v>
      </c>
      <c r="F388" s="132">
        <v>268.83000000000004</v>
      </c>
      <c r="G388" s="126">
        <v>156.15</v>
      </c>
      <c r="H388" s="127">
        <v>156.35000000000002</v>
      </c>
      <c r="I388" s="132">
        <v>200.5</v>
      </c>
      <c r="J388" s="127">
        <v>223.36</v>
      </c>
      <c r="K388" s="127">
        <v>234.62</v>
      </c>
      <c r="L388" s="132">
        <v>212.42000000000002</v>
      </c>
      <c r="M388" s="129">
        <v>109.25000000000001</v>
      </c>
      <c r="N388" s="143">
        <v>135.6</v>
      </c>
      <c r="O388" s="126">
        <v>128.80000000000001</v>
      </c>
      <c r="P388" s="170">
        <v>152.6</v>
      </c>
      <c r="Q388" s="128">
        <v>141.40999999999997</v>
      </c>
      <c r="R388" s="170">
        <v>179.3</v>
      </c>
      <c r="S388" s="174">
        <v>427</v>
      </c>
      <c r="T388" s="136">
        <v>236.73000000000002</v>
      </c>
      <c r="U388" s="136">
        <v>338.11999999999995</v>
      </c>
      <c r="V388" s="136">
        <v>361.21000000000004</v>
      </c>
      <c r="W388" s="145">
        <v>478.1</v>
      </c>
      <c r="X388" s="145">
        <v>623.29999999999995</v>
      </c>
      <c r="Y388" s="145">
        <v>660.5200000000001</v>
      </c>
      <c r="Z388" s="140"/>
      <c r="AA388" s="140"/>
      <c r="AB388" s="140"/>
      <c r="AC388" s="142">
        <v>84.499999999999986</v>
      </c>
      <c r="AD388" s="145">
        <v>115.6</v>
      </c>
      <c r="AE388" s="142">
        <v>94.13000000000001</v>
      </c>
      <c r="AF388" s="176">
        <v>127.1</v>
      </c>
      <c r="AG388" s="140"/>
      <c r="AH388" s="142">
        <v>92</v>
      </c>
      <c r="AI388" s="176">
        <v>100.3</v>
      </c>
      <c r="AJ388" s="140"/>
      <c r="AK388" s="142">
        <v>115.78</v>
      </c>
      <c r="AL388" s="181">
        <v>136.6</v>
      </c>
    </row>
    <row r="389" spans="1:38" x14ac:dyDescent="0.35">
      <c r="A389" s="130">
        <v>44044</v>
      </c>
      <c r="B389" s="137">
        <v>460.53000000000003</v>
      </c>
      <c r="C389" s="178"/>
      <c r="D389" s="135">
        <v>210.66</v>
      </c>
      <c r="E389" s="132">
        <v>218.22</v>
      </c>
      <c r="F389" s="132">
        <v>268.67</v>
      </c>
      <c r="G389" s="126">
        <v>156</v>
      </c>
      <c r="H389" s="127">
        <v>156.31</v>
      </c>
      <c r="I389" s="132">
        <v>202.73000000000002</v>
      </c>
      <c r="J389" s="127">
        <v>223.22</v>
      </c>
      <c r="K389" s="127">
        <v>233.62</v>
      </c>
      <c r="L389" s="132">
        <v>212.29000000000002</v>
      </c>
      <c r="M389" s="129">
        <v>109.03</v>
      </c>
      <c r="N389" s="143">
        <v>135.6</v>
      </c>
      <c r="O389" s="126">
        <v>128.63</v>
      </c>
      <c r="P389" s="170">
        <v>152.6</v>
      </c>
      <c r="Q389" s="128">
        <v>140.95999999999998</v>
      </c>
      <c r="R389" s="170">
        <v>179.3</v>
      </c>
      <c r="S389" s="174">
        <v>424.96999999999997</v>
      </c>
      <c r="T389" s="136">
        <v>236.66000000000003</v>
      </c>
      <c r="U389" s="136">
        <v>338.27</v>
      </c>
      <c r="V389" s="136">
        <v>362.76</v>
      </c>
      <c r="W389" s="145">
        <v>478.1</v>
      </c>
      <c r="X389" s="145">
        <v>623.29999999999995</v>
      </c>
      <c r="Y389" s="145">
        <v>660.68000000000006</v>
      </c>
      <c r="Z389" s="140"/>
      <c r="AA389" s="140"/>
      <c r="AB389" s="140"/>
      <c r="AC389" s="142">
        <v>84.759999999999991</v>
      </c>
      <c r="AD389" s="145">
        <v>115.6</v>
      </c>
      <c r="AE389" s="142">
        <v>93.910000000000011</v>
      </c>
      <c r="AF389" s="176">
        <v>127.1</v>
      </c>
      <c r="AG389" s="140"/>
      <c r="AH389" s="142">
        <v>92.06</v>
      </c>
      <c r="AI389" s="176">
        <v>100.3</v>
      </c>
      <c r="AJ389" s="140"/>
      <c r="AK389" s="142">
        <v>115.59</v>
      </c>
      <c r="AL389" s="181">
        <v>136.6</v>
      </c>
    </row>
    <row r="390" spans="1:38" x14ac:dyDescent="0.35">
      <c r="A390" s="130">
        <v>44075</v>
      </c>
      <c r="B390" s="137"/>
      <c r="C390" s="178"/>
      <c r="D390" s="135">
        <v>210.32</v>
      </c>
      <c r="E390" s="132">
        <v>217.87</v>
      </c>
      <c r="F390" s="132">
        <v>268.58000000000004</v>
      </c>
      <c r="G390" s="126">
        <v>155.99</v>
      </c>
      <c r="H390" s="127">
        <v>156.10000000000002</v>
      </c>
      <c r="I390" s="132">
        <v>212.51000000000002</v>
      </c>
      <c r="J390" s="127">
        <v>223.08</v>
      </c>
      <c r="K390" s="127">
        <v>232.1</v>
      </c>
      <c r="L390" s="132">
        <v>212.23000000000002</v>
      </c>
      <c r="M390" s="129">
        <v>108.89000000000001</v>
      </c>
      <c r="N390" s="143">
        <v>135.6</v>
      </c>
      <c r="O390" s="126">
        <v>128.41000000000003</v>
      </c>
      <c r="P390" s="170">
        <v>152.6</v>
      </c>
      <c r="Q390" s="128">
        <v>140.57999999999998</v>
      </c>
      <c r="R390" s="170">
        <v>179.3</v>
      </c>
      <c r="S390" s="174">
        <v>424.84</v>
      </c>
      <c r="T390" s="136">
        <v>236.36</v>
      </c>
      <c r="U390" s="136">
        <v>338.34</v>
      </c>
      <c r="V390" s="136">
        <v>362.59000000000003</v>
      </c>
      <c r="W390" s="145">
        <v>478.1</v>
      </c>
      <c r="X390" s="145">
        <v>623.29999999999995</v>
      </c>
      <c r="Y390" s="145">
        <v>660.56000000000006</v>
      </c>
      <c r="Z390" s="140"/>
      <c r="AA390" s="140"/>
      <c r="AB390" s="140"/>
      <c r="AC390" s="142">
        <v>84.969999999999985</v>
      </c>
      <c r="AD390" s="145">
        <v>115.6</v>
      </c>
      <c r="AE390" s="142">
        <v>93.800000000000011</v>
      </c>
      <c r="AF390" s="176">
        <v>127.1</v>
      </c>
      <c r="AG390" s="140"/>
      <c r="AH390" s="142">
        <v>91.919999999999987</v>
      </c>
      <c r="AI390" s="176">
        <v>100.3</v>
      </c>
      <c r="AJ390" s="140"/>
      <c r="AK390" s="142">
        <v>115.27</v>
      </c>
      <c r="AL390" s="181">
        <v>136.6</v>
      </c>
    </row>
    <row r="391" spans="1:38" x14ac:dyDescent="0.35">
      <c r="A391" s="130">
        <v>44105</v>
      </c>
      <c r="B391" s="137">
        <v>460.50000000000006</v>
      </c>
      <c r="C391" s="178"/>
      <c r="D391" s="135">
        <v>210.44</v>
      </c>
      <c r="E391" s="132">
        <v>217.91</v>
      </c>
      <c r="F391" s="132">
        <v>268.62</v>
      </c>
      <c r="G391" s="126">
        <v>155.74</v>
      </c>
      <c r="H391" s="127">
        <v>156.03</v>
      </c>
      <c r="I391" s="132">
        <v>212.16000000000003</v>
      </c>
      <c r="J391" s="127">
        <v>223.13</v>
      </c>
      <c r="K391" s="127">
        <v>231.37</v>
      </c>
      <c r="L391" s="132">
        <v>212.14000000000001</v>
      </c>
      <c r="M391" s="129">
        <v>108.81</v>
      </c>
      <c r="N391" s="143">
        <v>135.6</v>
      </c>
      <c r="O391" s="126">
        <v>128.22</v>
      </c>
      <c r="P391" s="170">
        <v>152.6</v>
      </c>
      <c r="Q391" s="128">
        <v>140.13</v>
      </c>
      <c r="R391" s="170">
        <v>179.3</v>
      </c>
      <c r="S391" s="174">
        <v>424.84</v>
      </c>
      <c r="T391" s="136">
        <v>236.16000000000003</v>
      </c>
      <c r="U391" s="136">
        <v>338.48999999999995</v>
      </c>
      <c r="V391" s="136">
        <v>362.36</v>
      </c>
      <c r="W391" s="145">
        <v>478.1</v>
      </c>
      <c r="X391" s="145">
        <v>623.29999999999995</v>
      </c>
      <c r="Y391" s="145">
        <v>660.69</v>
      </c>
      <c r="Z391" s="140"/>
      <c r="AA391" s="140"/>
      <c r="AB391" s="140"/>
      <c r="AC391" s="142">
        <v>85.059999999999988</v>
      </c>
      <c r="AD391" s="145">
        <v>115.6</v>
      </c>
      <c r="AE391" s="142">
        <v>93.72</v>
      </c>
      <c r="AF391" s="176">
        <v>127.1</v>
      </c>
      <c r="AG391" s="140"/>
      <c r="AH391" s="142">
        <v>91.789999999999992</v>
      </c>
      <c r="AI391" s="176">
        <v>100.3</v>
      </c>
      <c r="AJ391" s="140"/>
      <c r="AK391" s="142">
        <v>115.13</v>
      </c>
      <c r="AL391" s="181">
        <v>136.6</v>
      </c>
    </row>
    <row r="392" spans="1:38" x14ac:dyDescent="0.35">
      <c r="A392" s="130">
        <v>44136</v>
      </c>
      <c r="B392" s="137">
        <v>460.48</v>
      </c>
      <c r="C392" s="178"/>
      <c r="D392" s="135">
        <v>210.35</v>
      </c>
      <c r="E392" s="132">
        <v>217.91</v>
      </c>
      <c r="F392" s="132">
        <v>268.60000000000002</v>
      </c>
      <c r="G392" s="126">
        <v>155.76000000000002</v>
      </c>
      <c r="H392" s="127">
        <v>156</v>
      </c>
      <c r="I392" s="132">
        <v>208.26000000000002</v>
      </c>
      <c r="J392" s="127">
        <v>222.87</v>
      </c>
      <c r="K392" s="127">
        <v>230.66</v>
      </c>
      <c r="L392" s="132">
        <v>212.04000000000002</v>
      </c>
      <c r="M392" s="129">
        <v>108.69000000000001</v>
      </c>
      <c r="N392" s="143">
        <v>135.6</v>
      </c>
      <c r="O392" s="126">
        <v>127.88000000000001</v>
      </c>
      <c r="P392" s="170">
        <v>152.6</v>
      </c>
      <c r="Q392" s="128">
        <v>139.54999999999998</v>
      </c>
      <c r="R392" s="170">
        <v>179.3</v>
      </c>
      <c r="S392" s="174">
        <v>424.9</v>
      </c>
      <c r="T392" s="136">
        <v>235.50000000000003</v>
      </c>
      <c r="U392" s="136">
        <v>338.51</v>
      </c>
      <c r="V392" s="136">
        <v>362.12</v>
      </c>
      <c r="W392" s="145">
        <v>478.1</v>
      </c>
      <c r="X392" s="145">
        <v>623.29999999999995</v>
      </c>
      <c r="Y392" s="145">
        <v>660.65000000000009</v>
      </c>
      <c r="Z392" s="140"/>
      <c r="AA392" s="140"/>
      <c r="AB392" s="140"/>
      <c r="AC392" s="142">
        <v>85.109999999999985</v>
      </c>
      <c r="AD392" s="145">
        <v>115.6</v>
      </c>
      <c r="AE392" s="142">
        <v>93.68</v>
      </c>
      <c r="AF392" s="176">
        <v>127.1</v>
      </c>
      <c r="AG392" s="140"/>
      <c r="AH392" s="142">
        <v>91.66</v>
      </c>
      <c r="AI392" s="176">
        <v>100.3</v>
      </c>
      <c r="AJ392" s="140"/>
      <c r="AK392" s="142">
        <v>114.91</v>
      </c>
      <c r="AL392" s="181">
        <v>136.6</v>
      </c>
    </row>
    <row r="393" spans="1:38" x14ac:dyDescent="0.35">
      <c r="A393" s="130">
        <v>44166</v>
      </c>
      <c r="B393" s="137">
        <v>460.45000000000005</v>
      </c>
      <c r="C393" s="178"/>
      <c r="D393" s="135">
        <v>210.28</v>
      </c>
      <c r="E393" s="132">
        <v>217.68</v>
      </c>
      <c r="F393" s="132">
        <v>268.49</v>
      </c>
      <c r="G393" s="126">
        <v>155.44</v>
      </c>
      <c r="H393" s="127">
        <v>155.89000000000001</v>
      </c>
      <c r="I393" s="132">
        <v>200.5</v>
      </c>
      <c r="J393" s="127">
        <v>222.70000000000002</v>
      </c>
      <c r="K393" s="127">
        <v>229.96</v>
      </c>
      <c r="L393" s="132">
        <v>211.93</v>
      </c>
      <c r="M393" s="129">
        <v>108.66000000000001</v>
      </c>
      <c r="N393" s="143">
        <v>135.6</v>
      </c>
      <c r="O393" s="126">
        <v>127.57000000000001</v>
      </c>
      <c r="P393" s="170">
        <v>152.6</v>
      </c>
      <c r="Q393" s="128">
        <v>138.89999999999998</v>
      </c>
      <c r="R393" s="170">
        <v>179.3</v>
      </c>
      <c r="S393" s="174">
        <v>424.84</v>
      </c>
      <c r="T393" s="136">
        <v>234.92000000000002</v>
      </c>
      <c r="U393" s="136">
        <v>338.57</v>
      </c>
      <c r="V393" s="136">
        <v>361.21000000000004</v>
      </c>
      <c r="W393" s="145">
        <v>478.1</v>
      </c>
      <c r="X393" s="145">
        <v>623.29999999999995</v>
      </c>
      <c r="Y393" s="145">
        <v>660.66000000000008</v>
      </c>
      <c r="Z393" s="140"/>
      <c r="AA393" s="140"/>
      <c r="AB393" s="140"/>
      <c r="AC393" s="142">
        <v>85.169999999999987</v>
      </c>
      <c r="AD393" s="145">
        <v>115.6</v>
      </c>
      <c r="AE393" s="142">
        <v>93.62</v>
      </c>
      <c r="AF393" s="176">
        <v>127.1</v>
      </c>
      <c r="AG393" s="140"/>
      <c r="AH393" s="142">
        <v>91.649999999999991</v>
      </c>
      <c r="AI393" s="176">
        <v>100.3</v>
      </c>
      <c r="AJ393" s="140"/>
      <c r="AK393" s="142">
        <v>114.69</v>
      </c>
      <c r="AL393" s="181">
        <v>136.6</v>
      </c>
    </row>
    <row r="394" spans="1:38" x14ac:dyDescent="0.35">
      <c r="A394" s="130">
        <v>44197</v>
      </c>
      <c r="B394" s="137">
        <v>460.50000000000006</v>
      </c>
      <c r="C394" s="178"/>
      <c r="D394" s="135">
        <v>210.41</v>
      </c>
      <c r="E394" s="132">
        <v>217.60999999999999</v>
      </c>
      <c r="F394" s="132">
        <v>268.35000000000002</v>
      </c>
      <c r="G394" s="126">
        <v>155.29000000000002</v>
      </c>
      <c r="H394" s="127">
        <v>155.85000000000002</v>
      </c>
      <c r="I394" s="132">
        <v>200.5</v>
      </c>
      <c r="J394" s="127">
        <v>222.53</v>
      </c>
      <c r="K394" s="127">
        <v>229.34</v>
      </c>
      <c r="L394" s="132">
        <v>211.42000000000002</v>
      </c>
      <c r="M394" s="129">
        <v>108.64000000000001</v>
      </c>
      <c r="N394" s="143">
        <v>135.6</v>
      </c>
      <c r="O394" s="126">
        <v>127.68</v>
      </c>
      <c r="P394" s="170">
        <v>152.6</v>
      </c>
      <c r="Q394" s="128">
        <v>138.26999999999998</v>
      </c>
      <c r="R394" s="170">
        <v>179.3</v>
      </c>
      <c r="S394" s="174">
        <v>424.84999999999997</v>
      </c>
      <c r="T394" s="136">
        <v>234.36</v>
      </c>
      <c r="U394" s="136">
        <v>338.82</v>
      </c>
      <c r="V394" s="136">
        <v>360.76</v>
      </c>
      <c r="W394" s="145">
        <v>478.1</v>
      </c>
      <c r="X394" s="145">
        <v>623.29999999999995</v>
      </c>
      <c r="Y394" s="145">
        <v>660.97</v>
      </c>
      <c r="Z394" s="140"/>
      <c r="AA394" s="140"/>
      <c r="AB394" s="140"/>
      <c r="AC394" s="142">
        <v>85.699999999999989</v>
      </c>
      <c r="AD394" s="145">
        <v>115.6</v>
      </c>
      <c r="AE394" s="142">
        <v>93.63000000000001</v>
      </c>
      <c r="AF394" s="176">
        <v>127.1</v>
      </c>
      <c r="AG394" s="140"/>
      <c r="AH394" s="142">
        <v>91.74</v>
      </c>
      <c r="AI394" s="176">
        <v>100.3</v>
      </c>
      <c r="AJ394" s="140"/>
      <c r="AK394" s="142">
        <v>114.50999999999999</v>
      </c>
      <c r="AL394" s="181">
        <v>136.6</v>
      </c>
    </row>
    <row r="395" spans="1:38" x14ac:dyDescent="0.35">
      <c r="A395" s="130">
        <v>44228</v>
      </c>
      <c r="B395" s="137">
        <v>460.45000000000005</v>
      </c>
      <c r="C395" s="178"/>
      <c r="D395" s="135">
        <v>210.23999999999998</v>
      </c>
      <c r="E395" s="132">
        <v>217.56</v>
      </c>
      <c r="F395" s="132">
        <v>268.63</v>
      </c>
      <c r="G395" s="126">
        <v>155.23000000000002</v>
      </c>
      <c r="H395" s="127">
        <v>155.79000000000002</v>
      </c>
      <c r="I395" s="132">
        <v>200.5</v>
      </c>
      <c r="J395" s="127">
        <v>222.59</v>
      </c>
      <c r="K395" s="127">
        <v>229.03</v>
      </c>
      <c r="L395" s="132">
        <v>211.81</v>
      </c>
      <c r="M395" s="129">
        <v>108.00000000000001</v>
      </c>
      <c r="N395" s="143">
        <v>135.6</v>
      </c>
      <c r="O395" s="126">
        <v>127.01000000000002</v>
      </c>
      <c r="P395" s="170">
        <v>152.6</v>
      </c>
      <c r="Q395" s="128">
        <v>137.81</v>
      </c>
      <c r="R395" s="170">
        <v>179.3</v>
      </c>
      <c r="S395" s="174">
        <v>426.17999999999995</v>
      </c>
      <c r="T395" s="136">
        <v>233.90000000000003</v>
      </c>
      <c r="U395" s="136">
        <v>338.9</v>
      </c>
      <c r="V395" s="136">
        <v>360.89000000000004</v>
      </c>
      <c r="W395" s="145">
        <v>478.1</v>
      </c>
      <c r="X395" s="145">
        <v>623.29999999999995</v>
      </c>
      <c r="Y395" s="145">
        <v>661.03000000000009</v>
      </c>
      <c r="Z395" s="180"/>
      <c r="AA395" s="178"/>
      <c r="AB395" s="178"/>
      <c r="AC395" s="142">
        <v>85.279999999999987</v>
      </c>
      <c r="AD395" s="145">
        <v>115.6</v>
      </c>
      <c r="AE395" s="142">
        <v>93.62</v>
      </c>
      <c r="AF395" s="176">
        <v>127.1</v>
      </c>
      <c r="AG395" s="178"/>
      <c r="AH395" s="142">
        <v>91.539999999999992</v>
      </c>
      <c r="AI395" s="176">
        <v>100.3</v>
      </c>
      <c r="AJ395" s="178"/>
      <c r="AK395" s="142">
        <v>114.34</v>
      </c>
      <c r="AL395" s="181">
        <v>136.6</v>
      </c>
    </row>
    <row r="396" spans="1:38" x14ac:dyDescent="0.35">
      <c r="A396" s="130">
        <v>44256</v>
      </c>
      <c r="B396" s="137">
        <v>460.40000000000003</v>
      </c>
      <c r="C396" s="178"/>
      <c r="D396" s="135">
        <v>210.16</v>
      </c>
      <c r="E396" s="132">
        <v>217.45999999999998</v>
      </c>
      <c r="F396" s="132">
        <v>268.54000000000002</v>
      </c>
      <c r="G396" s="126">
        <v>155.11000000000001</v>
      </c>
      <c r="H396" s="127">
        <v>155.70000000000002</v>
      </c>
      <c r="I396" s="132">
        <v>200.5</v>
      </c>
      <c r="J396" s="127">
        <v>222.57</v>
      </c>
      <c r="K396" s="127">
        <v>228.68</v>
      </c>
      <c r="L396" s="132">
        <v>211.84</v>
      </c>
      <c r="M396" s="129">
        <v>108.68</v>
      </c>
      <c r="N396" s="143">
        <v>135.6</v>
      </c>
      <c r="O396" s="126">
        <v>126.62</v>
      </c>
      <c r="P396" s="170">
        <v>152.6</v>
      </c>
      <c r="Q396" s="128">
        <v>136.95999999999998</v>
      </c>
      <c r="R396" s="170">
        <v>179.3</v>
      </c>
      <c r="S396" s="174">
        <v>425.45</v>
      </c>
      <c r="T396" s="136">
        <v>232.76000000000002</v>
      </c>
      <c r="U396" s="136">
        <v>338.69</v>
      </c>
      <c r="V396" s="136">
        <v>360.98</v>
      </c>
      <c r="W396" s="145">
        <v>478.1</v>
      </c>
      <c r="X396" s="145">
        <v>623.29999999999995</v>
      </c>
      <c r="Y396" s="145">
        <v>660.90000000000009</v>
      </c>
      <c r="Z396" s="180"/>
      <c r="AA396" s="178"/>
      <c r="AB396" s="178"/>
      <c r="AC396" s="142">
        <v>85.22999999999999</v>
      </c>
      <c r="AD396" s="145">
        <v>115.6</v>
      </c>
      <c r="AE396" s="142">
        <v>93.56</v>
      </c>
      <c r="AF396" s="176">
        <v>127.1</v>
      </c>
      <c r="AG396" s="178"/>
      <c r="AH396" s="142">
        <v>91.699999999999989</v>
      </c>
      <c r="AI396" s="176">
        <v>100.3</v>
      </c>
      <c r="AJ396" s="178"/>
      <c r="AK396" s="142">
        <v>114.1</v>
      </c>
      <c r="AL396" s="181">
        <v>136.6</v>
      </c>
    </row>
    <row r="397" spans="1:38" x14ac:dyDescent="0.35">
      <c r="A397" s="130">
        <v>44287</v>
      </c>
      <c r="B397" s="137">
        <v>460.44000000000005</v>
      </c>
      <c r="C397" s="178"/>
      <c r="D397" s="135">
        <v>210.48999999999998</v>
      </c>
      <c r="E397" s="132">
        <v>217.87</v>
      </c>
      <c r="F397" s="132">
        <v>269.56</v>
      </c>
      <c r="G397" s="126">
        <v>155.03</v>
      </c>
      <c r="H397" s="127">
        <v>155.64000000000001</v>
      </c>
      <c r="I397" s="132">
        <v>200.5</v>
      </c>
      <c r="J397" s="127">
        <v>222.53</v>
      </c>
      <c r="K397" s="127">
        <v>229.35</v>
      </c>
      <c r="L397" s="132">
        <v>211.85000000000002</v>
      </c>
      <c r="M397" s="129">
        <v>107.70000000000002</v>
      </c>
      <c r="N397" s="143">
        <v>135.6</v>
      </c>
      <c r="O397" s="126">
        <v>126.31</v>
      </c>
      <c r="P397" s="170">
        <v>152.6</v>
      </c>
      <c r="Q397" s="128">
        <v>136.13</v>
      </c>
      <c r="R397" s="170">
        <v>179.3</v>
      </c>
      <c r="S397" s="174">
        <v>424.90999999999997</v>
      </c>
      <c r="T397" s="136">
        <v>232.79000000000002</v>
      </c>
      <c r="U397" s="136">
        <v>338.85999999999996</v>
      </c>
      <c r="V397" s="136">
        <v>360.99</v>
      </c>
      <c r="W397" s="145">
        <v>478.1</v>
      </c>
      <c r="X397" s="145">
        <v>623.29999999999995</v>
      </c>
      <c r="Y397" s="145">
        <v>661.16000000000008</v>
      </c>
      <c r="Z397" s="179"/>
      <c r="AA397" s="178"/>
      <c r="AB397" s="178"/>
      <c r="AC397" s="142">
        <v>85.20999999999998</v>
      </c>
      <c r="AD397" s="145">
        <v>115.6</v>
      </c>
      <c r="AE397" s="142">
        <v>93.54</v>
      </c>
      <c r="AF397" s="176">
        <v>127.1</v>
      </c>
      <c r="AG397" s="178"/>
      <c r="AH397" s="142">
        <v>91.789999999999992</v>
      </c>
      <c r="AI397" s="176">
        <v>100.3</v>
      </c>
      <c r="AJ397" s="178"/>
      <c r="AK397" s="142">
        <v>113.94999999999999</v>
      </c>
      <c r="AL397" s="181">
        <v>136.6</v>
      </c>
    </row>
    <row r="398" spans="1:38" x14ac:dyDescent="0.35">
      <c r="A398" s="130">
        <v>44317</v>
      </c>
      <c r="B398" s="137">
        <v>460.42</v>
      </c>
      <c r="C398" s="178"/>
      <c r="D398" s="135">
        <v>210.51999999999998</v>
      </c>
      <c r="E398" s="132">
        <v>217.91</v>
      </c>
      <c r="F398" s="132">
        <v>269.8</v>
      </c>
      <c r="G398" s="126">
        <v>155.55000000000001</v>
      </c>
      <c r="H398" s="127">
        <v>155.73000000000002</v>
      </c>
      <c r="I398" s="132">
        <v>213.05</v>
      </c>
      <c r="J398" s="127">
        <v>222.62</v>
      </c>
      <c r="K398" s="127">
        <v>228.97</v>
      </c>
      <c r="L398" s="132">
        <v>211.81</v>
      </c>
      <c r="M398" s="129">
        <v>107.65</v>
      </c>
      <c r="N398" s="145">
        <v>139.61000000000001</v>
      </c>
      <c r="O398" s="126">
        <v>126.12</v>
      </c>
      <c r="P398" s="170">
        <v>152.6</v>
      </c>
      <c r="Q398" s="128">
        <v>135.48999999999998</v>
      </c>
      <c r="R398" s="170">
        <v>179.3</v>
      </c>
      <c r="S398" s="174">
        <v>424.9</v>
      </c>
      <c r="T398" s="136">
        <v>232.66000000000003</v>
      </c>
      <c r="U398" s="136">
        <v>338.86999999999995</v>
      </c>
      <c r="V398" s="136">
        <v>360.98</v>
      </c>
      <c r="W398" s="145">
        <v>478.1</v>
      </c>
      <c r="X398" s="145">
        <v>623.29999999999995</v>
      </c>
      <c r="Y398" s="145">
        <v>661.11</v>
      </c>
      <c r="Z398" s="179"/>
      <c r="AA398" s="178"/>
      <c r="AB398" s="178"/>
      <c r="AC398" s="142">
        <v>84.97999999999999</v>
      </c>
      <c r="AD398" s="145">
        <v>115.6</v>
      </c>
      <c r="AE398" s="142">
        <v>93.480000000000018</v>
      </c>
      <c r="AF398" s="176">
        <v>127.1</v>
      </c>
      <c r="AG398" s="178"/>
      <c r="AH398" s="142">
        <v>91.69</v>
      </c>
      <c r="AI398" s="176">
        <v>100.3</v>
      </c>
      <c r="AJ398" s="178"/>
      <c r="AK398" s="142">
        <v>113.87</v>
      </c>
      <c r="AL398" s="181">
        <v>136.6</v>
      </c>
    </row>
    <row r="399" spans="1:38" x14ac:dyDescent="0.35">
      <c r="A399" s="130">
        <v>44348</v>
      </c>
      <c r="B399" s="137">
        <v>460.36</v>
      </c>
      <c r="C399" s="178"/>
      <c r="D399" s="135">
        <v>210.45999999999998</v>
      </c>
      <c r="E399" s="132">
        <v>217.76999999999998</v>
      </c>
      <c r="F399" s="132">
        <v>268.83000000000004</v>
      </c>
      <c r="G399" s="126">
        <v>155.27000000000001</v>
      </c>
      <c r="H399" s="127">
        <v>155.49</v>
      </c>
      <c r="I399" s="132">
        <v>211.75</v>
      </c>
      <c r="J399" s="127">
        <v>222.67000000000002</v>
      </c>
      <c r="K399" s="127">
        <v>228.46</v>
      </c>
      <c r="L399" s="132">
        <v>211.88</v>
      </c>
      <c r="M399" s="129">
        <v>108.58000000000001</v>
      </c>
      <c r="N399" s="145">
        <v>138.89000000000001</v>
      </c>
      <c r="O399" s="126">
        <v>125.58000000000001</v>
      </c>
      <c r="P399" s="170">
        <v>152.6</v>
      </c>
      <c r="Q399" s="128"/>
      <c r="R399" s="170">
        <v>179.3</v>
      </c>
      <c r="S399" s="174">
        <v>424.78999999999996</v>
      </c>
      <c r="T399" s="136">
        <v>232.32000000000002</v>
      </c>
      <c r="U399" s="136">
        <v>339.04999999999995</v>
      </c>
      <c r="V399" s="136"/>
      <c r="W399" s="145">
        <v>478.1</v>
      </c>
      <c r="X399" s="145">
        <v>623.29999999999995</v>
      </c>
      <c r="Y399" s="145">
        <v>661.2700000000001</v>
      </c>
      <c r="Z399" s="179"/>
      <c r="AA399" s="178"/>
      <c r="AB399" s="178"/>
      <c r="AC399" s="142">
        <v>84.769999999999982</v>
      </c>
      <c r="AD399" s="145">
        <v>115.6</v>
      </c>
      <c r="AE399" s="142">
        <v>93.360000000000014</v>
      </c>
      <c r="AF399" s="176">
        <v>127.1</v>
      </c>
      <c r="AG399" s="178"/>
      <c r="AH399" s="142">
        <v>91.71</v>
      </c>
      <c r="AI399" s="176">
        <v>100.3</v>
      </c>
      <c r="AJ399" s="178"/>
      <c r="AK399" s="142">
        <v>113.82</v>
      </c>
      <c r="AL399" s="181">
        <v>136.6</v>
      </c>
    </row>
    <row r="400" spans="1:38" x14ac:dyDescent="0.35">
      <c r="A400" s="130">
        <v>44378</v>
      </c>
      <c r="B400" s="137">
        <v>460.39000000000004</v>
      </c>
      <c r="C400" s="178"/>
      <c r="D400" s="135">
        <v>210.45</v>
      </c>
      <c r="E400" s="132">
        <v>217.74</v>
      </c>
      <c r="F400" s="132">
        <v>268.66000000000003</v>
      </c>
      <c r="G400" s="126">
        <v>155.07000000000002</v>
      </c>
      <c r="H400" s="127">
        <v>155.61000000000001</v>
      </c>
      <c r="I400" s="132">
        <v>203.02</v>
      </c>
      <c r="J400" s="127">
        <v>222.69</v>
      </c>
      <c r="K400" s="127">
        <v>228.2</v>
      </c>
      <c r="L400" s="132">
        <v>211.94</v>
      </c>
      <c r="M400" s="129">
        <v>108.55000000000001</v>
      </c>
      <c r="N400" s="145">
        <v>137.16000000000003</v>
      </c>
      <c r="O400" s="126">
        <v>125.75</v>
      </c>
      <c r="P400" s="170">
        <v>152.6</v>
      </c>
      <c r="Q400" s="128">
        <v>134.29</v>
      </c>
      <c r="R400" s="170">
        <v>179.3</v>
      </c>
      <c r="S400" s="174">
        <v>424.79999999999995</v>
      </c>
      <c r="T400" s="136">
        <v>232.14000000000001</v>
      </c>
      <c r="U400" s="136">
        <v>339.03</v>
      </c>
      <c r="V400" s="136"/>
      <c r="W400" s="145">
        <v>478.1</v>
      </c>
      <c r="X400" s="145">
        <v>623.29999999999995</v>
      </c>
      <c r="Y400" s="145">
        <v>661.24</v>
      </c>
      <c r="Z400" s="179"/>
      <c r="AA400" s="178"/>
      <c r="AB400" s="178"/>
      <c r="AC400" s="142">
        <v>84.749999999999986</v>
      </c>
      <c r="AD400" s="145">
        <v>115.6</v>
      </c>
      <c r="AE400" s="142">
        <v>93.34</v>
      </c>
      <c r="AF400" s="176">
        <v>127.1</v>
      </c>
      <c r="AG400" s="178"/>
      <c r="AH400" s="142">
        <v>91.679999999999993</v>
      </c>
      <c r="AI400" s="176">
        <v>100.3</v>
      </c>
      <c r="AJ400" s="178"/>
      <c r="AK400" s="142">
        <v>113.84</v>
      </c>
      <c r="AL400" s="181">
        <v>136.6</v>
      </c>
    </row>
    <row r="401" spans="1:38" x14ac:dyDescent="0.35">
      <c r="A401" s="130">
        <v>44409</v>
      </c>
      <c r="B401" s="137"/>
      <c r="C401" s="178"/>
      <c r="D401" s="135">
        <v>210.42</v>
      </c>
      <c r="E401" s="132">
        <v>217.2</v>
      </c>
      <c r="F401" s="132">
        <v>268.77000000000004</v>
      </c>
      <c r="G401" s="126">
        <v>154.94</v>
      </c>
      <c r="H401" s="127">
        <v>155.59</v>
      </c>
      <c r="I401" s="132">
        <v>210.73000000000002</v>
      </c>
      <c r="J401" s="127">
        <v>222.79000000000002</v>
      </c>
      <c r="K401" s="127">
        <v>227.98000000000002</v>
      </c>
      <c r="L401" s="132">
        <v>211.9</v>
      </c>
      <c r="M401" s="129">
        <v>108.72000000000001</v>
      </c>
      <c r="N401" s="143">
        <v>135.6</v>
      </c>
      <c r="O401" s="126">
        <v>125.59</v>
      </c>
      <c r="P401" s="170">
        <v>152.6</v>
      </c>
      <c r="Q401" s="128">
        <v>133.82</v>
      </c>
      <c r="R401" s="170">
        <v>179.3</v>
      </c>
      <c r="S401" s="174">
        <v>424.79999999999995</v>
      </c>
      <c r="T401" s="136">
        <v>232.03000000000003</v>
      </c>
      <c r="U401" s="136">
        <v>339.15999999999997</v>
      </c>
      <c r="V401" s="136"/>
      <c r="W401" s="145">
        <v>478.1</v>
      </c>
      <c r="X401" s="145">
        <v>623.29999999999995</v>
      </c>
      <c r="Y401" s="145">
        <v>661.3900000000001</v>
      </c>
      <c r="Z401" s="179"/>
      <c r="AA401" s="178"/>
      <c r="AB401" s="178"/>
      <c r="AC401" s="142">
        <v>84.41</v>
      </c>
      <c r="AD401" s="145">
        <v>115.6</v>
      </c>
      <c r="AE401" s="142">
        <v>93.300000000000011</v>
      </c>
      <c r="AF401" s="176">
        <v>127.1</v>
      </c>
      <c r="AG401" s="178"/>
      <c r="AH401" s="142">
        <v>91.899999999999991</v>
      </c>
      <c r="AI401" s="176">
        <v>100.3</v>
      </c>
      <c r="AJ401" s="178"/>
      <c r="AK401" s="142">
        <v>113.60999999999999</v>
      </c>
      <c r="AL401" s="181">
        <v>136.6</v>
      </c>
    </row>
    <row r="402" spans="1:38" x14ac:dyDescent="0.35">
      <c r="A402" s="130">
        <v>44440</v>
      </c>
      <c r="B402" s="137">
        <v>460.33000000000004</v>
      </c>
      <c r="C402" s="178"/>
      <c r="D402" s="135">
        <v>210.23</v>
      </c>
      <c r="E402" s="132">
        <v>217.44</v>
      </c>
      <c r="F402" s="132">
        <v>269.01</v>
      </c>
      <c r="G402" s="126">
        <v>154.9</v>
      </c>
      <c r="H402" s="127">
        <v>155.51000000000002</v>
      </c>
      <c r="I402" s="132">
        <v>211.57000000000002</v>
      </c>
      <c r="J402" s="127"/>
      <c r="K402" s="127">
        <v>227.8</v>
      </c>
      <c r="L402" s="132">
        <v>211.88</v>
      </c>
      <c r="M402" s="129">
        <v>108.61000000000001</v>
      </c>
      <c r="N402" s="145">
        <v>137.91000000000003</v>
      </c>
      <c r="O402" s="126">
        <v>125.38000000000001</v>
      </c>
      <c r="P402" s="170">
        <v>152.6</v>
      </c>
      <c r="Q402" s="128">
        <v>133.31</v>
      </c>
      <c r="R402" s="170">
        <v>179.3</v>
      </c>
      <c r="S402" s="174">
        <v>424.71999999999997</v>
      </c>
      <c r="T402" s="136">
        <v>231.91000000000003</v>
      </c>
      <c r="U402" s="136">
        <v>339.17999999999995</v>
      </c>
      <c r="V402" s="136"/>
      <c r="W402" s="145">
        <v>478.1</v>
      </c>
      <c r="X402" s="145">
        <v>623.29999999999995</v>
      </c>
      <c r="Y402" s="145">
        <v>661.48</v>
      </c>
      <c r="Z402" s="179"/>
      <c r="AA402" s="178"/>
      <c r="AB402" s="178"/>
      <c r="AC402" s="142">
        <v>84.389999999999986</v>
      </c>
      <c r="AD402" s="145">
        <v>115.6</v>
      </c>
      <c r="AE402" s="142">
        <v>93.47</v>
      </c>
      <c r="AF402" s="176">
        <v>127.1</v>
      </c>
      <c r="AG402" s="178"/>
      <c r="AH402" s="142">
        <v>91.94</v>
      </c>
      <c r="AI402" s="176">
        <v>100.3</v>
      </c>
      <c r="AJ402" s="145"/>
      <c r="AK402" s="142">
        <v>113.63</v>
      </c>
      <c r="AL402" s="181">
        <v>136.6</v>
      </c>
    </row>
    <row r="403" spans="1:38" x14ac:dyDescent="0.35">
      <c r="A403" s="130">
        <v>44470</v>
      </c>
      <c r="B403" s="137">
        <v>460.33000000000004</v>
      </c>
      <c r="C403" s="178"/>
      <c r="D403" s="135">
        <v>210.13</v>
      </c>
      <c r="E403" s="132">
        <v>217.29</v>
      </c>
      <c r="F403" s="132">
        <v>268.76</v>
      </c>
      <c r="G403" s="126">
        <v>154.88</v>
      </c>
      <c r="H403" s="127">
        <v>155.49</v>
      </c>
      <c r="I403" s="132">
        <v>209.92000000000002</v>
      </c>
      <c r="J403" s="127">
        <v>222.60000000000002</v>
      </c>
      <c r="K403" s="127">
        <v>227.69</v>
      </c>
      <c r="L403" s="132">
        <v>211.86</v>
      </c>
      <c r="M403" s="129">
        <v>108.60000000000001</v>
      </c>
      <c r="N403" s="145">
        <v>136.13</v>
      </c>
      <c r="O403" s="126">
        <v>125.12</v>
      </c>
      <c r="P403" s="170">
        <v>152.6</v>
      </c>
      <c r="Q403" s="128">
        <v>132.76</v>
      </c>
      <c r="R403" s="170">
        <v>179.3</v>
      </c>
      <c r="S403" s="174">
        <v>424.61</v>
      </c>
      <c r="T403" s="136">
        <v>231.65000000000003</v>
      </c>
      <c r="U403" s="136">
        <v>339.13</v>
      </c>
      <c r="V403" s="136"/>
      <c r="W403" s="145">
        <v>478.1</v>
      </c>
      <c r="X403" s="145">
        <v>623.29999999999995</v>
      </c>
      <c r="Y403" s="145">
        <v>661.58</v>
      </c>
      <c r="Z403" s="179"/>
      <c r="AA403" s="178"/>
      <c r="AB403" s="178"/>
      <c r="AC403" s="142">
        <v>84.6</v>
      </c>
      <c r="AD403" s="145">
        <v>115.6</v>
      </c>
      <c r="AE403" s="142">
        <v>93.43</v>
      </c>
      <c r="AF403" s="176">
        <v>127.1</v>
      </c>
      <c r="AG403" s="178"/>
      <c r="AH403" s="142">
        <v>92.079999999999984</v>
      </c>
      <c r="AI403" s="176">
        <v>100.3</v>
      </c>
      <c r="AJ403" s="145"/>
      <c r="AK403" s="142">
        <v>113.69</v>
      </c>
      <c r="AL403" s="181">
        <v>136.6</v>
      </c>
    </row>
    <row r="404" spans="1:38" x14ac:dyDescent="0.35">
      <c r="A404" s="130">
        <v>44501</v>
      </c>
      <c r="B404" s="137">
        <v>460.33000000000004</v>
      </c>
      <c r="C404" s="178"/>
      <c r="D404" s="135">
        <v>210.09</v>
      </c>
      <c r="E404" s="132">
        <v>217.20999999999998</v>
      </c>
      <c r="F404" s="132">
        <v>268.64</v>
      </c>
      <c r="G404" s="126">
        <v>154.87</v>
      </c>
      <c r="H404" s="127">
        <v>155.5</v>
      </c>
      <c r="I404" s="132">
        <v>209.27</v>
      </c>
      <c r="J404" s="127">
        <v>222.53</v>
      </c>
      <c r="K404" s="127">
        <v>227.65</v>
      </c>
      <c r="L404" s="132">
        <v>211.77</v>
      </c>
      <c r="M404" s="129">
        <v>108.74000000000001</v>
      </c>
      <c r="N404" s="145">
        <v>136.10000000000002</v>
      </c>
      <c r="O404" s="126">
        <v>124.77000000000001</v>
      </c>
      <c r="P404" s="170">
        <v>152.6</v>
      </c>
      <c r="Q404" s="128">
        <v>132.08999999999997</v>
      </c>
      <c r="R404" s="170">
        <v>179.3</v>
      </c>
      <c r="S404" s="174">
        <v>424.81</v>
      </c>
      <c r="T404" s="136">
        <v>231.29000000000002</v>
      </c>
      <c r="U404" s="136">
        <v>339.61999999999995</v>
      </c>
      <c r="V404" s="136">
        <v>362.13</v>
      </c>
      <c r="W404" s="145">
        <v>478.1</v>
      </c>
      <c r="X404" s="145">
        <v>623.29999999999995</v>
      </c>
      <c r="Y404" s="145">
        <v>661.46</v>
      </c>
      <c r="Z404" s="179"/>
      <c r="AA404" s="178"/>
      <c r="AB404" s="178"/>
      <c r="AC404" s="142">
        <v>83.919999999999987</v>
      </c>
      <c r="AD404" s="145">
        <v>115.6</v>
      </c>
      <c r="AE404" s="142">
        <v>93.080000000000013</v>
      </c>
      <c r="AF404" s="176">
        <v>127.1</v>
      </c>
      <c r="AG404" s="178"/>
      <c r="AH404" s="142">
        <v>92.03</v>
      </c>
      <c r="AI404" s="176">
        <v>100.3</v>
      </c>
      <c r="AJ404" s="145"/>
      <c r="AK404" s="142">
        <v>112.85999999999999</v>
      </c>
      <c r="AL404" s="181">
        <v>136.6</v>
      </c>
    </row>
    <row r="405" spans="1:38" x14ac:dyDescent="0.35">
      <c r="A405" s="130">
        <v>44531</v>
      </c>
      <c r="B405" s="137">
        <v>460.26000000000005</v>
      </c>
      <c r="C405" s="178"/>
      <c r="D405" s="135">
        <v>209.94</v>
      </c>
      <c r="E405" s="132">
        <v>217</v>
      </c>
      <c r="F405" s="132">
        <v>268.69</v>
      </c>
      <c r="G405" s="126">
        <v>155.07000000000002</v>
      </c>
      <c r="H405" s="127">
        <v>156.06</v>
      </c>
      <c r="I405" s="132">
        <v>213.05</v>
      </c>
      <c r="J405" s="127">
        <v>222.52</v>
      </c>
      <c r="K405" s="127">
        <v>227.58</v>
      </c>
      <c r="L405" s="132">
        <v>211.72</v>
      </c>
      <c r="M405" s="129">
        <v>108.58000000000001</v>
      </c>
      <c r="N405" s="143">
        <v>135.6</v>
      </c>
      <c r="O405" s="126">
        <v>124.47</v>
      </c>
      <c r="P405" s="170">
        <v>152.6</v>
      </c>
      <c r="Q405" s="128">
        <v>131.39999999999998</v>
      </c>
      <c r="R405" s="170">
        <v>179.3</v>
      </c>
      <c r="S405" s="174">
        <v>424.81</v>
      </c>
      <c r="T405" s="136">
        <v>231.02</v>
      </c>
      <c r="U405" s="136">
        <v>339.66999999999996</v>
      </c>
      <c r="V405" s="136">
        <v>361.97</v>
      </c>
      <c r="W405" s="145">
        <v>478.1</v>
      </c>
      <c r="X405" s="145">
        <v>623.29999999999995</v>
      </c>
      <c r="Y405" s="145"/>
      <c r="Z405" s="179"/>
      <c r="AA405" s="178"/>
      <c r="AB405" s="178"/>
      <c r="AC405" s="142">
        <v>83.779999999999987</v>
      </c>
      <c r="AD405" s="145">
        <v>115.6</v>
      </c>
      <c r="AE405" s="142">
        <v>93.09</v>
      </c>
      <c r="AF405" s="176">
        <v>127.1</v>
      </c>
      <c r="AG405" s="178"/>
      <c r="AH405" s="142">
        <v>91.72999999999999</v>
      </c>
      <c r="AI405" s="176">
        <v>100.3</v>
      </c>
      <c r="AJ405" s="145"/>
      <c r="AK405" s="142">
        <v>112.91</v>
      </c>
      <c r="AL405" s="181">
        <v>136.6</v>
      </c>
    </row>
    <row r="406" spans="1:38" x14ac:dyDescent="0.35">
      <c r="A406" s="130">
        <v>44562</v>
      </c>
      <c r="B406" s="137">
        <v>460.30000000000007</v>
      </c>
      <c r="C406" s="178"/>
      <c r="D406" s="135">
        <v>210.88</v>
      </c>
      <c r="E406" s="132">
        <v>218.34</v>
      </c>
      <c r="F406" s="132">
        <v>269.60000000000002</v>
      </c>
      <c r="G406" s="126">
        <v>157.74</v>
      </c>
      <c r="H406" s="127">
        <v>157.15</v>
      </c>
      <c r="I406" s="132">
        <v>211.84</v>
      </c>
      <c r="J406" s="127">
        <v>224.13</v>
      </c>
      <c r="K406" s="127">
        <v>230.43</v>
      </c>
      <c r="L406" s="132">
        <v>212.72</v>
      </c>
      <c r="M406" s="129">
        <v>108.96000000000001</v>
      </c>
      <c r="N406" s="145">
        <v>139.56</v>
      </c>
      <c r="O406" s="126">
        <v>125.05000000000001</v>
      </c>
      <c r="P406" s="170">
        <v>152.6</v>
      </c>
      <c r="Q406" s="128">
        <v>135.96999999999997</v>
      </c>
      <c r="R406" s="170">
        <v>179.3</v>
      </c>
      <c r="S406" s="174">
        <v>424.82</v>
      </c>
      <c r="T406" s="136">
        <v>231.08</v>
      </c>
      <c r="U406" s="136">
        <v>341.34</v>
      </c>
      <c r="V406" s="136">
        <v>362.03000000000003</v>
      </c>
      <c r="W406" s="145">
        <v>478.1</v>
      </c>
      <c r="X406" s="145">
        <v>623.29999999999995</v>
      </c>
      <c r="Y406" s="145">
        <v>661.56000000000006</v>
      </c>
      <c r="Z406" s="179"/>
      <c r="AA406" s="178"/>
      <c r="AB406" s="178"/>
      <c r="AC406" s="142">
        <v>88.249999999999986</v>
      </c>
      <c r="AD406" s="145">
        <v>115.6</v>
      </c>
      <c r="AE406" s="142">
        <v>93.910000000000011</v>
      </c>
      <c r="AF406" s="176">
        <v>127.1</v>
      </c>
      <c r="AG406" s="178"/>
      <c r="AH406" s="142">
        <v>98.109999999999985</v>
      </c>
      <c r="AI406" s="176">
        <v>100.3</v>
      </c>
      <c r="AJ406" s="145"/>
      <c r="AK406" s="142">
        <v>113.85999999999999</v>
      </c>
      <c r="AL406" s="181">
        <v>136.6</v>
      </c>
    </row>
    <row r="407" spans="1:38" x14ac:dyDescent="0.35">
      <c r="A407" s="130">
        <v>44593</v>
      </c>
      <c r="B407" s="137">
        <v>460.42</v>
      </c>
      <c r="C407" s="178"/>
      <c r="D407" s="135">
        <v>211.06</v>
      </c>
      <c r="E407" s="132">
        <v>218.2</v>
      </c>
      <c r="F407" s="132">
        <v>269.94</v>
      </c>
      <c r="G407" s="126">
        <v>156.73000000000002</v>
      </c>
      <c r="H407" s="127">
        <v>156.58000000000001</v>
      </c>
      <c r="I407" s="132">
        <v>210.42000000000002</v>
      </c>
      <c r="J407" s="127">
        <v>223.83</v>
      </c>
      <c r="K407" s="127">
        <v>230.31</v>
      </c>
      <c r="L407" s="132">
        <v>212.39000000000001</v>
      </c>
      <c r="M407" s="129">
        <v>108.91000000000001</v>
      </c>
      <c r="N407" s="145">
        <v>136.13</v>
      </c>
      <c r="O407" s="126">
        <v>125.27000000000001</v>
      </c>
      <c r="P407" s="170">
        <v>152.6</v>
      </c>
      <c r="Q407" s="128">
        <v>136.18</v>
      </c>
      <c r="R407" s="170">
        <v>179.3</v>
      </c>
      <c r="S407" s="174">
        <v>424.72999999999996</v>
      </c>
      <c r="T407" s="136">
        <v>232.06</v>
      </c>
      <c r="U407" s="136">
        <v>340.21</v>
      </c>
      <c r="V407" s="136"/>
      <c r="W407" s="145">
        <v>478.1</v>
      </c>
      <c r="X407" s="145">
        <v>623.29999999999995</v>
      </c>
      <c r="Y407" s="145">
        <v>661.56000000000006</v>
      </c>
      <c r="Z407" s="179"/>
      <c r="AA407" s="178"/>
      <c r="AB407" s="178"/>
      <c r="AC407" s="142">
        <v>87.169999999999987</v>
      </c>
      <c r="AD407" s="145">
        <v>115.6</v>
      </c>
      <c r="AE407" s="142">
        <v>92.830000000000013</v>
      </c>
      <c r="AF407" s="176">
        <v>127.1</v>
      </c>
      <c r="AG407" s="178"/>
      <c r="AH407" s="142">
        <v>97.36999999999999</v>
      </c>
      <c r="AI407" s="176">
        <v>100.3</v>
      </c>
      <c r="AJ407" s="145"/>
      <c r="AK407" s="142">
        <v>112.75999999999999</v>
      </c>
      <c r="AL407" s="181">
        <v>136.6</v>
      </c>
    </row>
    <row r="408" spans="1:38" x14ac:dyDescent="0.35">
      <c r="A408" s="130">
        <v>44621</v>
      </c>
      <c r="B408" s="137">
        <v>460.41</v>
      </c>
      <c r="C408" s="178"/>
      <c r="D408" s="135">
        <v>210.87</v>
      </c>
      <c r="E408" s="132">
        <v>217.87</v>
      </c>
      <c r="F408" s="132">
        <v>269.76</v>
      </c>
      <c r="G408" s="126">
        <v>156.63</v>
      </c>
      <c r="H408" s="127">
        <v>156.43</v>
      </c>
      <c r="I408" s="132">
        <v>212.18</v>
      </c>
      <c r="J408" s="127">
        <v>223.5</v>
      </c>
      <c r="K408" s="127">
        <v>230.02</v>
      </c>
      <c r="L408" s="132">
        <v>212.23000000000002</v>
      </c>
      <c r="M408" s="129">
        <v>108.75000000000001</v>
      </c>
      <c r="N408" s="145">
        <v>141.53</v>
      </c>
      <c r="O408" s="126">
        <v>125.46000000000001</v>
      </c>
      <c r="P408" s="170">
        <v>152.6</v>
      </c>
      <c r="Q408" s="128">
        <v>136.32999999999998</v>
      </c>
      <c r="R408" s="170">
        <v>179.3</v>
      </c>
      <c r="S408" s="174">
        <v>452.46999999999997</v>
      </c>
      <c r="T408" s="136">
        <v>232.74</v>
      </c>
      <c r="U408" s="136">
        <v>340.09</v>
      </c>
      <c r="V408" s="136">
        <v>362.24</v>
      </c>
      <c r="W408" s="145">
        <v>478.1</v>
      </c>
      <c r="X408" s="145">
        <v>623.29999999999995</v>
      </c>
      <c r="Y408" s="145">
        <v>661.75</v>
      </c>
      <c r="Z408" s="179"/>
      <c r="AA408" s="178"/>
      <c r="AB408" s="178"/>
      <c r="AC408" s="142">
        <v>83.169999999999987</v>
      </c>
      <c r="AD408" s="145">
        <v>115.6</v>
      </c>
      <c r="AE408" s="142">
        <v>93.65</v>
      </c>
      <c r="AF408" s="176">
        <v>127.1</v>
      </c>
      <c r="AG408" s="178"/>
      <c r="AH408" s="142">
        <v>94.27</v>
      </c>
      <c r="AI408" s="176">
        <v>100.3</v>
      </c>
      <c r="AJ408" s="145"/>
      <c r="AK408" s="142">
        <v>113.13999999999999</v>
      </c>
      <c r="AL408" s="181">
        <v>136.6</v>
      </c>
    </row>
    <row r="409" spans="1:38" x14ac:dyDescent="0.35">
      <c r="A409" s="130">
        <v>44652</v>
      </c>
      <c r="B409" s="137">
        <v>461.03000000000003</v>
      </c>
      <c r="C409" s="178"/>
      <c r="D409" s="135">
        <v>210.89999999999998</v>
      </c>
      <c r="E409" s="132">
        <v>218.04999999999998</v>
      </c>
      <c r="F409" s="132">
        <v>269.54000000000002</v>
      </c>
      <c r="G409" s="126">
        <v>157.75</v>
      </c>
      <c r="H409" s="127">
        <v>156.86000000000001</v>
      </c>
      <c r="I409" s="132">
        <v>211.46</v>
      </c>
      <c r="J409" s="127">
        <v>223.29000000000002</v>
      </c>
      <c r="K409" s="127">
        <v>229.74</v>
      </c>
      <c r="L409" s="132">
        <v>212.17000000000002</v>
      </c>
      <c r="M409" s="129">
        <v>108.64000000000001</v>
      </c>
      <c r="N409" s="145">
        <v>139.18</v>
      </c>
      <c r="O409" s="126">
        <v>125.57000000000001</v>
      </c>
      <c r="P409" s="170">
        <v>152.6</v>
      </c>
      <c r="Q409" s="128">
        <v>136.25</v>
      </c>
      <c r="R409" s="170">
        <v>179.3</v>
      </c>
      <c r="S409" s="174">
        <v>451.75</v>
      </c>
      <c r="T409" s="136">
        <v>233.13000000000002</v>
      </c>
      <c r="U409" s="136">
        <v>341.15999999999997</v>
      </c>
      <c r="V409" s="136">
        <v>362.31</v>
      </c>
      <c r="W409" s="145">
        <v>478.1</v>
      </c>
      <c r="X409" s="145">
        <v>623.29999999999995</v>
      </c>
      <c r="Y409" s="145">
        <v>661.83</v>
      </c>
      <c r="Z409" s="179"/>
      <c r="AA409" s="178"/>
      <c r="AB409" s="178"/>
      <c r="AC409" s="142">
        <v>83.219999999999985</v>
      </c>
      <c r="AD409" s="145">
        <v>115.6</v>
      </c>
      <c r="AE409" s="142">
        <v>93.710000000000008</v>
      </c>
      <c r="AF409" s="176">
        <v>127.1</v>
      </c>
      <c r="AG409" s="178"/>
      <c r="AH409" s="142">
        <v>94.31</v>
      </c>
      <c r="AI409" s="176">
        <v>100.3</v>
      </c>
      <c r="AJ409" s="145"/>
      <c r="AK409" s="142">
        <v>113.10999999999999</v>
      </c>
      <c r="AL409" s="181">
        <v>136.6</v>
      </c>
    </row>
    <row r="410" spans="1:38" x14ac:dyDescent="0.35">
      <c r="A410" s="130">
        <v>44682</v>
      </c>
      <c r="B410" s="137">
        <v>460.64000000000004</v>
      </c>
      <c r="C410" s="178"/>
      <c r="D410" s="135">
        <v>210.82</v>
      </c>
      <c r="E410" s="132">
        <v>217.92</v>
      </c>
      <c r="F410" s="132">
        <v>269.16000000000003</v>
      </c>
      <c r="G410" s="126">
        <v>157.23000000000002</v>
      </c>
      <c r="H410" s="127">
        <v>156.82</v>
      </c>
      <c r="I410" s="132">
        <v>209.76000000000002</v>
      </c>
      <c r="J410" s="127">
        <v>223.18</v>
      </c>
      <c r="K410" s="127">
        <v>229.49</v>
      </c>
      <c r="L410" s="132">
        <v>212.16</v>
      </c>
      <c r="M410" s="169">
        <v>107.5</v>
      </c>
      <c r="N410" s="145">
        <v>145.69</v>
      </c>
      <c r="O410" s="126">
        <v>125.79</v>
      </c>
      <c r="P410" s="170">
        <v>152.6</v>
      </c>
      <c r="Q410" s="128">
        <v>136.16999999999999</v>
      </c>
      <c r="R410" s="170">
        <v>179.3</v>
      </c>
      <c r="S410" s="174">
        <v>451.41999999999996</v>
      </c>
      <c r="T410" s="136">
        <v>234.53000000000003</v>
      </c>
      <c r="U410" s="136"/>
      <c r="V410" s="136">
        <v>362.29</v>
      </c>
      <c r="W410" s="145">
        <v>478.1</v>
      </c>
      <c r="X410" s="145">
        <v>623.29999999999995</v>
      </c>
      <c r="Y410" s="145">
        <v>661.82</v>
      </c>
      <c r="Z410" s="179"/>
      <c r="AA410" s="178"/>
      <c r="AB410" s="178"/>
      <c r="AC410" s="142">
        <v>83.20999999999998</v>
      </c>
      <c r="AD410" s="145"/>
      <c r="AE410" s="142">
        <v>94.54</v>
      </c>
      <c r="AF410" s="176"/>
      <c r="AG410" s="178"/>
      <c r="AH410" s="142">
        <v>93.009999999999991</v>
      </c>
      <c r="AI410" s="176">
        <v>100.3</v>
      </c>
      <c r="AJ410" s="145"/>
      <c r="AK410" s="142">
        <v>113.28</v>
      </c>
      <c r="AL410" s="181">
        <v>136.6</v>
      </c>
    </row>
    <row r="411" spans="1:38" x14ac:dyDescent="0.35">
      <c r="A411" s="130">
        <v>44713</v>
      </c>
      <c r="B411" s="137">
        <v>460.43000000000006</v>
      </c>
      <c r="C411" s="178"/>
      <c r="D411" s="135">
        <v>210.82999999999998</v>
      </c>
      <c r="E411" s="132">
        <v>217.79999999999998</v>
      </c>
      <c r="F411" s="132">
        <v>268.69</v>
      </c>
      <c r="G411" s="126">
        <v>156.06</v>
      </c>
      <c r="H411" s="127">
        <v>156.34</v>
      </c>
      <c r="I411" s="132">
        <v>200.5</v>
      </c>
      <c r="J411" s="127">
        <v>222.92000000000002</v>
      </c>
      <c r="K411" s="127">
        <v>228.91</v>
      </c>
      <c r="L411" s="132">
        <v>212.03</v>
      </c>
      <c r="M411" s="129">
        <v>108.59</v>
      </c>
      <c r="N411" s="145">
        <v>136.14000000000001</v>
      </c>
      <c r="O411" s="126">
        <v>125.93</v>
      </c>
      <c r="P411" s="170">
        <v>152.6</v>
      </c>
      <c r="Q411" s="128">
        <v>135.60999999999999</v>
      </c>
      <c r="R411" s="170">
        <v>179.3</v>
      </c>
      <c r="S411" s="174">
        <v>449.21</v>
      </c>
      <c r="T411" s="136">
        <v>236.02</v>
      </c>
      <c r="U411" s="136">
        <v>340.52</v>
      </c>
      <c r="V411" s="136">
        <v>362.40000000000003</v>
      </c>
      <c r="W411" s="145">
        <v>478.1</v>
      </c>
      <c r="X411" s="145">
        <v>623.29999999999995</v>
      </c>
      <c r="Y411" s="145">
        <v>661.86</v>
      </c>
      <c r="Z411" s="179"/>
      <c r="AA411" s="178"/>
      <c r="AB411" s="178"/>
      <c r="AC411" s="142">
        <v>83.559999999999988</v>
      </c>
      <c r="AD411" s="145">
        <v>115.6</v>
      </c>
      <c r="AE411" s="142">
        <v>93.4</v>
      </c>
      <c r="AF411" s="176">
        <v>127.1</v>
      </c>
      <c r="AG411" s="178"/>
      <c r="AH411" s="142">
        <v>92.509999999999991</v>
      </c>
      <c r="AI411" s="176">
        <v>100.3</v>
      </c>
      <c r="AJ411" s="145"/>
      <c r="AK411" s="142">
        <v>113.25</v>
      </c>
      <c r="AL411" s="181">
        <v>136.6</v>
      </c>
    </row>
    <row r="412" spans="1:38" x14ac:dyDescent="0.35">
      <c r="A412" s="130">
        <v>44743</v>
      </c>
      <c r="B412" s="137">
        <v>460.52000000000004</v>
      </c>
      <c r="C412" s="178"/>
      <c r="D412" s="135">
        <v>210.93</v>
      </c>
      <c r="E412" s="132">
        <v>217.88</v>
      </c>
      <c r="F412" s="132">
        <v>268.65000000000003</v>
      </c>
      <c r="G412" s="126">
        <v>155.83000000000001</v>
      </c>
      <c r="H412" s="127">
        <v>156.30000000000001</v>
      </c>
      <c r="I412" s="132">
        <v>200.5</v>
      </c>
      <c r="J412" s="127">
        <v>222.87</v>
      </c>
      <c r="K412" s="127">
        <v>228.56</v>
      </c>
      <c r="L412" s="132">
        <v>212.06</v>
      </c>
      <c r="M412" s="129">
        <v>108.74000000000001</v>
      </c>
      <c r="N412" s="145">
        <v>136.18</v>
      </c>
      <c r="O412" s="126">
        <v>125.96000000000001</v>
      </c>
      <c r="P412" s="170">
        <v>152.6</v>
      </c>
      <c r="Q412" s="128">
        <v>134.90999999999997</v>
      </c>
      <c r="R412" s="170">
        <v>179.3</v>
      </c>
      <c r="S412" s="174">
        <v>448.08</v>
      </c>
      <c r="T412" s="136">
        <v>235.88000000000002</v>
      </c>
      <c r="U412" s="136">
        <v>340.71999999999997</v>
      </c>
      <c r="V412" s="136">
        <v>362.46000000000004</v>
      </c>
      <c r="W412" s="145">
        <v>478.1</v>
      </c>
      <c r="X412" s="145">
        <v>623.29999999999995</v>
      </c>
      <c r="Y412" s="145">
        <v>661.93000000000006</v>
      </c>
      <c r="Z412" s="179"/>
      <c r="AA412" s="178"/>
      <c r="AB412" s="178"/>
      <c r="AC412" s="142">
        <v>83.529999999999987</v>
      </c>
      <c r="AD412" s="145">
        <v>115.6</v>
      </c>
      <c r="AE412" s="142">
        <v>93.440000000000012</v>
      </c>
      <c r="AF412" s="176">
        <v>127.1</v>
      </c>
      <c r="AG412" s="178"/>
      <c r="AH412" s="142">
        <v>92.429999999999993</v>
      </c>
      <c r="AI412" s="176">
        <v>100.3</v>
      </c>
      <c r="AJ412" s="145"/>
      <c r="AK412" s="142">
        <v>113.31</v>
      </c>
      <c r="AL412" s="181">
        <v>136.6</v>
      </c>
    </row>
    <row r="413" spans="1:38" x14ac:dyDescent="0.35">
      <c r="A413" s="130">
        <v>44774</v>
      </c>
      <c r="B413" s="137">
        <v>460.6</v>
      </c>
      <c r="C413" s="178"/>
      <c r="D413" s="135">
        <v>210.89999999999998</v>
      </c>
      <c r="E413" s="132">
        <v>217.76999999999998</v>
      </c>
      <c r="F413" s="132">
        <v>268.2</v>
      </c>
      <c r="G413" s="126">
        <v>155.71</v>
      </c>
      <c r="H413" s="127">
        <v>156.23000000000002</v>
      </c>
      <c r="I413" s="132">
        <v>200.5</v>
      </c>
      <c r="J413" s="127">
        <v>222.74</v>
      </c>
      <c r="K413" s="127">
        <v>228.26</v>
      </c>
      <c r="L413" s="132">
        <v>212.05</v>
      </c>
      <c r="M413" s="129">
        <v>108.78</v>
      </c>
      <c r="N413" s="145">
        <v>136.17000000000002</v>
      </c>
      <c r="O413" s="126"/>
      <c r="P413" s="170">
        <v>152.6</v>
      </c>
      <c r="Q413" s="128">
        <v>134.84999999999997</v>
      </c>
      <c r="R413" s="170">
        <v>179.3</v>
      </c>
      <c r="S413" s="174">
        <v>446.90999999999997</v>
      </c>
      <c r="T413" s="136">
        <v>235.65000000000003</v>
      </c>
      <c r="U413" s="136">
        <v>340.90999999999997</v>
      </c>
      <c r="V413" s="136">
        <v>362.51</v>
      </c>
      <c r="W413" s="145">
        <v>478.1</v>
      </c>
      <c r="X413" s="145">
        <v>623.29999999999995</v>
      </c>
      <c r="Y413" s="145">
        <v>661.93000000000006</v>
      </c>
      <c r="Z413" s="179"/>
      <c r="AA413" s="178"/>
      <c r="AB413" s="178"/>
      <c r="AC413" s="142">
        <v>83.70999999999998</v>
      </c>
      <c r="AD413" s="145">
        <v>115.6</v>
      </c>
      <c r="AE413" s="142">
        <v>93.27000000000001</v>
      </c>
      <c r="AF413" s="176">
        <v>127.1</v>
      </c>
      <c r="AG413" s="178"/>
      <c r="AH413" s="142">
        <v>92.22999999999999</v>
      </c>
      <c r="AI413" s="176">
        <v>100.3</v>
      </c>
      <c r="AJ413" s="145"/>
      <c r="AK413" s="142">
        <v>113.10999999999999</v>
      </c>
      <c r="AL413" s="181">
        <v>136.6</v>
      </c>
    </row>
    <row r="414" spans="1:38" x14ac:dyDescent="0.35">
      <c r="A414" s="130">
        <v>44805</v>
      </c>
      <c r="B414" s="137">
        <v>460.46000000000004</v>
      </c>
      <c r="C414" s="178"/>
      <c r="D414" s="135">
        <v>210.7</v>
      </c>
      <c r="E414" s="132">
        <v>217.62</v>
      </c>
      <c r="F414" s="132">
        <v>268.18</v>
      </c>
      <c r="G414" s="126">
        <v>155.51000000000002</v>
      </c>
      <c r="H414" s="127">
        <v>156.09</v>
      </c>
      <c r="I414" s="132">
        <v>200.5</v>
      </c>
      <c r="J414" s="127">
        <v>222.64000000000001</v>
      </c>
      <c r="K414" s="127">
        <v>227.83</v>
      </c>
      <c r="L414" s="132">
        <v>211.95000000000002</v>
      </c>
      <c r="M414" s="129">
        <v>108.63000000000001</v>
      </c>
      <c r="N414" s="145">
        <v>136.15</v>
      </c>
      <c r="O414" s="126">
        <v>125.67000000000002</v>
      </c>
      <c r="P414" s="170">
        <v>152.6</v>
      </c>
      <c r="Q414" s="128">
        <v>134.21999999999997</v>
      </c>
      <c r="R414" s="170">
        <v>179.3</v>
      </c>
      <c r="S414" s="174">
        <v>446.75</v>
      </c>
      <c r="T414" s="136">
        <v>234.85000000000002</v>
      </c>
      <c r="U414" s="136">
        <v>341.15</v>
      </c>
      <c r="V414" s="136">
        <v>362.6</v>
      </c>
      <c r="W414" s="145">
        <v>478.1</v>
      </c>
      <c r="X414" s="145">
        <v>623.29999999999995</v>
      </c>
      <c r="Y414" s="145">
        <v>661.91000000000008</v>
      </c>
      <c r="Z414" s="179"/>
      <c r="AA414" s="178"/>
      <c r="AB414" s="178"/>
      <c r="AC414" s="142">
        <v>83.32</v>
      </c>
      <c r="AD414" s="145">
        <v>115.6</v>
      </c>
      <c r="AE414" s="142">
        <v>93.160000000000011</v>
      </c>
      <c r="AF414" s="176">
        <v>127.1</v>
      </c>
      <c r="AG414" s="178"/>
      <c r="AH414" s="142">
        <v>91.899999999999991</v>
      </c>
      <c r="AI414" s="176">
        <v>100.3</v>
      </c>
      <c r="AJ414" s="145"/>
      <c r="AK414" s="142">
        <v>112.94999999999999</v>
      </c>
      <c r="AL414" s="181">
        <v>136.6</v>
      </c>
    </row>
    <row r="415" spans="1:38" x14ac:dyDescent="0.35">
      <c r="A415" s="130">
        <v>44835</v>
      </c>
      <c r="B415" s="137">
        <v>460.47</v>
      </c>
      <c r="C415" s="178"/>
      <c r="D415" s="135">
        <v>210.45</v>
      </c>
      <c r="E415" s="132">
        <v>217.35</v>
      </c>
      <c r="F415" s="132">
        <v>268.12</v>
      </c>
      <c r="G415" s="126">
        <v>155.46</v>
      </c>
      <c r="H415" s="127">
        <v>156.02000000000001</v>
      </c>
      <c r="I415" s="132">
        <v>200.5</v>
      </c>
      <c r="J415" s="127">
        <v>222.62</v>
      </c>
      <c r="K415" s="127">
        <v>227.76</v>
      </c>
      <c r="L415" s="132">
        <v>211.88</v>
      </c>
      <c r="M415" s="129">
        <v>108.71000000000001</v>
      </c>
      <c r="N415" s="145">
        <v>136.17000000000002</v>
      </c>
      <c r="O415" s="126">
        <v>125.5</v>
      </c>
      <c r="P415" s="170">
        <v>152.6</v>
      </c>
      <c r="Q415" s="128">
        <v>133.82</v>
      </c>
      <c r="R415" s="170">
        <v>179.3</v>
      </c>
      <c r="S415" s="174">
        <v>445.78999999999996</v>
      </c>
      <c r="T415" s="136">
        <v>234.18</v>
      </c>
      <c r="U415" s="136"/>
      <c r="V415" s="136">
        <v>362.54</v>
      </c>
      <c r="W415" s="145">
        <v>478.1</v>
      </c>
      <c r="X415" s="145">
        <v>623.29999999999995</v>
      </c>
      <c r="Y415" s="145">
        <v>661.75</v>
      </c>
      <c r="Z415" s="179"/>
      <c r="AA415" s="178"/>
      <c r="AB415" s="178"/>
      <c r="AC415" s="142">
        <v>83.859999999999985</v>
      </c>
      <c r="AD415" s="145">
        <v>115.6</v>
      </c>
      <c r="AE415" s="142">
        <v>93.080000000000013</v>
      </c>
      <c r="AF415" s="176">
        <v>127.1</v>
      </c>
      <c r="AG415" s="178"/>
      <c r="AH415" s="142">
        <v>92.02</v>
      </c>
      <c r="AI415" s="176">
        <v>100.3</v>
      </c>
      <c r="AJ415" s="145"/>
      <c r="AK415" s="142">
        <v>112.82</v>
      </c>
      <c r="AL415" s="181">
        <v>136.6</v>
      </c>
    </row>
    <row r="416" spans="1:38" x14ac:dyDescent="0.35">
      <c r="A416" s="130">
        <v>44866</v>
      </c>
      <c r="B416" s="137">
        <v>460.43000000000006</v>
      </c>
      <c r="C416" s="178"/>
      <c r="D416" s="135">
        <v>210.01</v>
      </c>
      <c r="E416" s="132">
        <v>216.91</v>
      </c>
      <c r="F416" s="132">
        <v>268.34000000000003</v>
      </c>
      <c r="G416" s="126">
        <v>155.31</v>
      </c>
      <c r="H416" s="127">
        <v>155.93</v>
      </c>
      <c r="I416" s="132">
        <v>200.5</v>
      </c>
      <c r="J416" s="127">
        <v>222.49</v>
      </c>
      <c r="K416" s="127">
        <v>227.63</v>
      </c>
      <c r="L416" s="132">
        <v>211.81</v>
      </c>
      <c r="M416" s="129">
        <v>108.64000000000001</v>
      </c>
      <c r="N416" s="145">
        <v>135.97</v>
      </c>
      <c r="O416" s="126">
        <v>125.33000000000001</v>
      </c>
      <c r="P416" s="170">
        <v>152.6</v>
      </c>
      <c r="Q416" s="128">
        <v>133.02999999999997</v>
      </c>
      <c r="R416" s="170">
        <v>179.3</v>
      </c>
      <c r="S416" s="174">
        <v>445.54999999999995</v>
      </c>
      <c r="T416" s="136">
        <v>232.60000000000002</v>
      </c>
      <c r="U416" s="136">
        <v>341.29999999999995</v>
      </c>
      <c r="V416" s="136">
        <v>362.53000000000003</v>
      </c>
      <c r="W416" s="145">
        <v>478.1</v>
      </c>
      <c r="X416" s="145">
        <v>623.29999999999995</v>
      </c>
      <c r="Y416" s="145">
        <v>661.7</v>
      </c>
      <c r="Z416" s="179"/>
      <c r="AA416" s="178"/>
      <c r="AB416" s="178"/>
      <c r="AC416" s="142">
        <v>83.619999999999976</v>
      </c>
      <c r="AD416" s="145">
        <v>115.6</v>
      </c>
      <c r="AE416" s="142">
        <v>92.990000000000009</v>
      </c>
      <c r="AF416" s="176">
        <v>127.1</v>
      </c>
      <c r="AG416" s="178"/>
      <c r="AH416" s="142">
        <v>91.97999999999999</v>
      </c>
      <c r="AI416" s="176">
        <v>100.3</v>
      </c>
      <c r="AJ416" s="145"/>
      <c r="AK416" s="142">
        <v>112.71</v>
      </c>
      <c r="AL416" s="181">
        <v>136.6</v>
      </c>
    </row>
    <row r="417" spans="1:38" x14ac:dyDescent="0.35">
      <c r="A417" s="130">
        <v>44896</v>
      </c>
      <c r="B417" s="137">
        <v>460.38000000000005</v>
      </c>
      <c r="C417" s="178"/>
      <c r="D417" s="135">
        <v>209.85999999999999</v>
      </c>
      <c r="E417" s="132">
        <v>216.60999999999999</v>
      </c>
      <c r="F417" s="132">
        <v>268.89</v>
      </c>
      <c r="G417" s="126">
        <v>155.22000000000003</v>
      </c>
      <c r="H417" s="127">
        <v>155.83000000000001</v>
      </c>
      <c r="I417" s="132">
        <v>200.5</v>
      </c>
      <c r="J417" s="127">
        <v>222.47</v>
      </c>
      <c r="K417" s="127">
        <v>227.53</v>
      </c>
      <c r="L417" s="132">
        <v>211.73000000000002</v>
      </c>
      <c r="M417" s="129">
        <v>108.73000000000002</v>
      </c>
      <c r="N417" s="145">
        <v>136.67000000000002</v>
      </c>
      <c r="O417" s="126">
        <v>125.27000000000001</v>
      </c>
      <c r="P417" s="170">
        <v>152.6</v>
      </c>
      <c r="Q417" s="128">
        <v>132.34999999999997</v>
      </c>
      <c r="R417" s="170">
        <v>179.3</v>
      </c>
      <c r="S417" s="174">
        <v>445</v>
      </c>
      <c r="T417" s="136">
        <v>232.21</v>
      </c>
      <c r="U417" s="136">
        <v>341.45</v>
      </c>
      <c r="V417" s="136">
        <v>362.92</v>
      </c>
      <c r="W417" s="145">
        <v>478.1</v>
      </c>
      <c r="X417" s="145">
        <v>623.29999999999995</v>
      </c>
      <c r="Y417" s="145">
        <v>661.82</v>
      </c>
      <c r="Z417" s="179"/>
      <c r="AA417" s="178"/>
      <c r="AB417" s="178"/>
      <c r="AC417" s="142">
        <v>84.059999999999988</v>
      </c>
      <c r="AD417" s="145">
        <v>115.6</v>
      </c>
      <c r="AE417" s="142">
        <v>93.100000000000009</v>
      </c>
      <c r="AF417" s="176">
        <v>127.1</v>
      </c>
      <c r="AG417" s="178"/>
      <c r="AH417" s="142">
        <v>91.99</v>
      </c>
      <c r="AI417" s="176">
        <v>100.3</v>
      </c>
      <c r="AJ417" s="145"/>
      <c r="AK417" s="142">
        <v>112.41</v>
      </c>
      <c r="AL417" s="181">
        <v>136.6</v>
      </c>
    </row>
    <row r="418" spans="1:38" x14ac:dyDescent="0.35">
      <c r="A418" s="130">
        <v>44927</v>
      </c>
      <c r="B418" s="137">
        <v>460.45000000000005</v>
      </c>
      <c r="C418" s="178"/>
      <c r="D418" s="135">
        <v>210.39999999999998</v>
      </c>
      <c r="E418" s="132">
        <v>217.94</v>
      </c>
      <c r="F418" s="132">
        <v>271.19</v>
      </c>
      <c r="G418" s="126">
        <v>164.67000000000002</v>
      </c>
      <c r="H418" s="127">
        <v>159.08000000000001</v>
      </c>
      <c r="I418" s="132">
        <v>213.3</v>
      </c>
      <c r="J418" s="127">
        <v>225.24</v>
      </c>
      <c r="K418" s="127">
        <v>227.81</v>
      </c>
      <c r="L418" s="132">
        <v>213.75</v>
      </c>
      <c r="M418" s="129">
        <v>109.09</v>
      </c>
      <c r="N418" s="145">
        <v>154.99</v>
      </c>
      <c r="O418" s="126">
        <v>125.9</v>
      </c>
      <c r="P418" s="132">
        <v>155.76000000000002</v>
      </c>
      <c r="Q418" s="128">
        <v>134.65999999999997</v>
      </c>
      <c r="R418" s="170">
        <v>179.3</v>
      </c>
      <c r="S418" s="174">
        <v>463.09999999999997</v>
      </c>
      <c r="T418" s="136">
        <v>231.43</v>
      </c>
      <c r="U418" s="136">
        <v>343.60999999999996</v>
      </c>
      <c r="V418" s="136">
        <v>362.81</v>
      </c>
      <c r="W418" s="145">
        <v>478.1</v>
      </c>
      <c r="X418" s="145">
        <v>623.29999999999995</v>
      </c>
      <c r="Y418" s="145">
        <v>662.5</v>
      </c>
      <c r="Z418" s="179"/>
      <c r="AA418" s="178"/>
      <c r="AB418" s="178"/>
      <c r="AC418" s="142">
        <v>115.40999999999998</v>
      </c>
      <c r="AD418" s="141">
        <v>119.10000000000001</v>
      </c>
      <c r="AE418" s="142">
        <v>93.450000000000017</v>
      </c>
      <c r="AF418" s="176">
        <v>132.68</v>
      </c>
      <c r="AG418" s="178"/>
      <c r="AH418" s="142">
        <v>106.3</v>
      </c>
      <c r="AI418" s="176">
        <v>100.3</v>
      </c>
      <c r="AJ418" s="145"/>
      <c r="AK418" s="142">
        <v>112.44</v>
      </c>
      <c r="AL418" s="181">
        <v>136.6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3278C-7333-4A1E-9251-F467E3DAB6F6}">
  <dimension ref="A1:B418"/>
  <sheetViews>
    <sheetView zoomScale="205" zoomScaleNormal="205" workbookViewId="0">
      <selection sqref="A1:A1048576"/>
    </sheetView>
  </sheetViews>
  <sheetFormatPr defaultRowHeight="14.5" x14ac:dyDescent="0.35"/>
  <cols>
    <col min="1" max="1" width="8.90625" style="109"/>
  </cols>
  <sheetData>
    <row r="1" spans="1:2" x14ac:dyDescent="0.35">
      <c r="A1" s="109" t="s">
        <v>1</v>
      </c>
      <c r="B1" t="s">
        <v>15</v>
      </c>
    </row>
    <row r="2" spans="1:2" x14ac:dyDescent="0.35">
      <c r="A2" s="110">
        <v>32282</v>
      </c>
      <c r="B2" s="91">
        <v>0</v>
      </c>
    </row>
    <row r="3" spans="1:2" x14ac:dyDescent="0.35">
      <c r="A3" s="110">
        <v>32304</v>
      </c>
      <c r="B3" s="91">
        <v>0</v>
      </c>
    </row>
    <row r="4" spans="1:2" x14ac:dyDescent="0.35">
      <c r="A4" s="110">
        <v>32336</v>
      </c>
      <c r="B4" s="91">
        <v>0</v>
      </c>
    </row>
    <row r="5" spans="1:2" x14ac:dyDescent="0.35">
      <c r="A5" s="110">
        <v>32374</v>
      </c>
      <c r="B5" s="91">
        <v>0</v>
      </c>
    </row>
    <row r="6" spans="1:2" x14ac:dyDescent="0.35">
      <c r="A6" s="110">
        <v>32408</v>
      </c>
      <c r="B6" s="91">
        <v>0.12</v>
      </c>
    </row>
    <row r="7" spans="1:2" x14ac:dyDescent="0.35">
      <c r="A7" s="110">
        <v>32429</v>
      </c>
      <c r="B7" s="91">
        <v>2</v>
      </c>
    </row>
    <row r="8" spans="1:2" x14ac:dyDescent="0.35">
      <c r="A8" s="110">
        <v>32463</v>
      </c>
      <c r="B8" s="91">
        <v>1.24</v>
      </c>
    </row>
    <row r="9" spans="1:2" x14ac:dyDescent="0.35">
      <c r="A9" s="110">
        <v>32485</v>
      </c>
      <c r="B9" s="91">
        <v>3.01</v>
      </c>
    </row>
    <row r="10" spans="1:2" x14ac:dyDescent="0.35">
      <c r="A10" s="110">
        <v>32526</v>
      </c>
      <c r="B10" s="91">
        <v>0.51</v>
      </c>
    </row>
    <row r="11" spans="1:2" x14ac:dyDescent="0.35">
      <c r="A11" s="110">
        <v>32559</v>
      </c>
      <c r="B11" s="91">
        <v>1.99</v>
      </c>
    </row>
    <row r="12" spans="1:2" x14ac:dyDescent="0.35">
      <c r="A12" s="110">
        <v>32582</v>
      </c>
      <c r="B12" s="91">
        <v>0.96</v>
      </c>
    </row>
    <row r="13" spans="1:2" x14ac:dyDescent="0.35">
      <c r="A13" s="110">
        <v>32612</v>
      </c>
      <c r="B13" s="91">
        <v>0</v>
      </c>
    </row>
    <row r="14" spans="1:2" x14ac:dyDescent="0.35">
      <c r="A14" s="110">
        <v>32644</v>
      </c>
      <c r="B14" s="91">
        <v>0.03</v>
      </c>
    </row>
    <row r="15" spans="1:2" x14ac:dyDescent="0.35">
      <c r="A15" s="110">
        <v>32680</v>
      </c>
      <c r="B15" s="91">
        <v>0</v>
      </c>
    </row>
    <row r="16" spans="1:2" x14ac:dyDescent="0.35">
      <c r="A16" s="110">
        <v>32702</v>
      </c>
      <c r="B16" s="91">
        <v>0</v>
      </c>
    </row>
    <row r="17" spans="1:2" x14ac:dyDescent="0.35">
      <c r="A17" s="110">
        <v>32734</v>
      </c>
      <c r="B17" s="91">
        <v>0</v>
      </c>
    </row>
    <row r="18" spans="1:2" x14ac:dyDescent="0.35">
      <c r="A18" s="110">
        <v>32772</v>
      </c>
      <c r="B18" s="91">
        <v>0.33</v>
      </c>
    </row>
    <row r="19" spans="1:2" x14ac:dyDescent="0.35">
      <c r="A19" s="110">
        <v>32806</v>
      </c>
      <c r="B19" s="91">
        <v>0.31</v>
      </c>
    </row>
    <row r="20" spans="1:2" x14ac:dyDescent="0.35">
      <c r="A20" s="110">
        <v>32827</v>
      </c>
      <c r="B20" s="91">
        <v>0.66</v>
      </c>
    </row>
    <row r="21" spans="1:2" x14ac:dyDescent="0.35">
      <c r="A21" s="110">
        <v>32860</v>
      </c>
      <c r="B21" s="91">
        <v>0</v>
      </c>
    </row>
    <row r="22" spans="1:2" x14ac:dyDescent="0.35">
      <c r="A22" s="110">
        <v>32889</v>
      </c>
      <c r="B22" s="91">
        <v>1.61</v>
      </c>
    </row>
    <row r="23" spans="1:2" x14ac:dyDescent="0.35">
      <c r="A23" s="110">
        <v>32920</v>
      </c>
      <c r="B23" s="91">
        <v>2.37</v>
      </c>
    </row>
    <row r="24" spans="1:2" x14ac:dyDescent="0.35">
      <c r="A24" s="110">
        <v>32946</v>
      </c>
      <c r="B24" s="91">
        <v>0.18</v>
      </c>
    </row>
    <row r="25" spans="1:2" x14ac:dyDescent="0.35">
      <c r="A25" s="110">
        <v>32979</v>
      </c>
      <c r="B25" s="91">
        <v>0.76</v>
      </c>
    </row>
    <row r="26" spans="1:2" x14ac:dyDescent="0.35">
      <c r="A26" s="110">
        <v>33008</v>
      </c>
      <c r="B26" s="91">
        <v>1.34</v>
      </c>
    </row>
    <row r="27" spans="1:2" x14ac:dyDescent="0.35">
      <c r="A27" s="110">
        <v>33039</v>
      </c>
      <c r="B27" s="91">
        <v>0</v>
      </c>
    </row>
    <row r="28" spans="1:2" x14ac:dyDescent="0.35">
      <c r="A28" s="110">
        <v>33067</v>
      </c>
      <c r="B28" s="91">
        <v>0</v>
      </c>
    </row>
    <row r="29" spans="1:2" x14ac:dyDescent="0.35">
      <c r="A29" s="110">
        <v>33101</v>
      </c>
      <c r="B29" s="91">
        <v>0</v>
      </c>
    </row>
    <row r="30" spans="1:2" ht="15" thickBot="1" x14ac:dyDescent="0.4">
      <c r="A30" s="111">
        <v>33128</v>
      </c>
      <c r="B30" s="92">
        <v>0</v>
      </c>
    </row>
    <row r="31" spans="1:2" x14ac:dyDescent="0.35">
      <c r="A31" s="110">
        <v>33161</v>
      </c>
      <c r="B31" s="91">
        <v>0</v>
      </c>
    </row>
    <row r="32" spans="1:2" x14ac:dyDescent="0.35">
      <c r="A32" s="110">
        <v>33192</v>
      </c>
      <c r="B32" s="91">
        <v>0.6</v>
      </c>
    </row>
    <row r="33" spans="1:2" x14ac:dyDescent="0.35">
      <c r="A33" s="110">
        <v>33224</v>
      </c>
      <c r="B33" s="91">
        <v>0.05</v>
      </c>
    </row>
    <row r="34" spans="1:2" x14ac:dyDescent="0.35">
      <c r="A34" s="110">
        <v>33256</v>
      </c>
      <c r="B34" s="91">
        <v>1.47</v>
      </c>
    </row>
    <row r="35" spans="1:2" x14ac:dyDescent="0.35">
      <c r="A35" s="110">
        <v>33288</v>
      </c>
      <c r="B35" s="91">
        <v>1.64</v>
      </c>
    </row>
    <row r="36" spans="1:2" x14ac:dyDescent="0.35">
      <c r="A36" s="110">
        <v>33326</v>
      </c>
      <c r="B36" s="91">
        <v>6.12</v>
      </c>
    </row>
    <row r="37" spans="1:2" x14ac:dyDescent="0.35">
      <c r="A37" s="110">
        <v>33345</v>
      </c>
      <c r="B37" s="91">
        <v>0</v>
      </c>
    </row>
    <row r="38" spans="1:2" x14ac:dyDescent="0.35">
      <c r="A38" s="110">
        <v>33374</v>
      </c>
      <c r="B38" s="91">
        <v>0</v>
      </c>
    </row>
    <row r="39" spans="1:2" x14ac:dyDescent="0.35">
      <c r="A39" s="110">
        <v>33403</v>
      </c>
      <c r="B39" s="91">
        <v>0.06</v>
      </c>
    </row>
    <row r="40" spans="1:2" x14ac:dyDescent="0.35">
      <c r="A40" s="110">
        <v>33444</v>
      </c>
      <c r="B40" s="91">
        <v>0.03</v>
      </c>
    </row>
    <row r="41" spans="1:2" x14ac:dyDescent="0.35">
      <c r="A41" s="110">
        <v>33451</v>
      </c>
      <c r="B41" s="91">
        <v>0.05</v>
      </c>
    </row>
    <row r="42" spans="1:2" x14ac:dyDescent="0.35">
      <c r="A42" s="110">
        <v>33482</v>
      </c>
      <c r="B42" s="91">
        <v>0</v>
      </c>
    </row>
    <row r="43" spans="1:2" x14ac:dyDescent="0.35">
      <c r="A43" s="110">
        <v>33512</v>
      </c>
      <c r="B43" s="91">
        <v>0.38</v>
      </c>
    </row>
    <row r="44" spans="1:2" x14ac:dyDescent="0.35">
      <c r="A44" s="110">
        <v>33543</v>
      </c>
      <c r="B44" s="91">
        <v>0</v>
      </c>
    </row>
    <row r="45" spans="1:2" x14ac:dyDescent="0.35">
      <c r="A45" s="110">
        <v>33573</v>
      </c>
      <c r="B45" s="91">
        <v>3.76</v>
      </c>
    </row>
    <row r="46" spans="1:2" x14ac:dyDescent="0.35">
      <c r="A46" s="110">
        <v>33621</v>
      </c>
      <c r="B46" s="91">
        <v>1.61</v>
      </c>
    </row>
    <row r="47" spans="1:2" x14ac:dyDescent="0.35">
      <c r="A47" s="110">
        <v>33652</v>
      </c>
      <c r="B47" s="91">
        <v>6.25</v>
      </c>
    </row>
    <row r="48" spans="1:2" x14ac:dyDescent="0.35">
      <c r="A48" s="110">
        <v>33675</v>
      </c>
      <c r="B48" s="91">
        <v>4.47</v>
      </c>
    </row>
    <row r="49" spans="1:2" x14ac:dyDescent="0.35">
      <c r="A49" s="110">
        <v>33703</v>
      </c>
      <c r="B49" s="91">
        <v>0.25</v>
      </c>
    </row>
    <row r="50" spans="1:2" x14ac:dyDescent="0.35">
      <c r="A50" s="110">
        <v>33738</v>
      </c>
      <c r="B50" s="91">
        <v>0.01</v>
      </c>
    </row>
    <row r="51" spans="1:2" x14ac:dyDescent="0.35">
      <c r="A51" s="110">
        <v>33774</v>
      </c>
      <c r="B51" s="91">
        <v>0</v>
      </c>
    </row>
    <row r="52" spans="1:2" x14ac:dyDescent="0.35">
      <c r="A52" s="110">
        <v>33810</v>
      </c>
      <c r="B52" s="91">
        <v>0.39</v>
      </c>
    </row>
    <row r="53" spans="1:2" x14ac:dyDescent="0.35">
      <c r="A53" s="110">
        <v>33826</v>
      </c>
      <c r="B53" s="91">
        <v>0</v>
      </c>
    </row>
    <row r="54" spans="1:2" x14ac:dyDescent="0.35">
      <c r="A54" s="110">
        <v>33864</v>
      </c>
      <c r="B54" s="91">
        <v>0</v>
      </c>
    </row>
    <row r="55" spans="1:2" x14ac:dyDescent="0.35">
      <c r="A55" s="110">
        <v>33890</v>
      </c>
      <c r="B55" s="91">
        <v>0.71</v>
      </c>
    </row>
    <row r="56" spans="1:2" x14ac:dyDescent="0.35">
      <c r="A56" s="110">
        <v>33925</v>
      </c>
      <c r="B56" s="91">
        <v>0</v>
      </c>
    </row>
    <row r="57" spans="1:2" x14ac:dyDescent="0.35">
      <c r="A57" s="110">
        <v>33969</v>
      </c>
      <c r="B57" s="91">
        <v>5.59</v>
      </c>
    </row>
    <row r="58" spans="1:2" x14ac:dyDescent="0.35">
      <c r="A58" s="110">
        <v>33970</v>
      </c>
      <c r="B58" s="91">
        <v>9.02</v>
      </c>
    </row>
    <row r="59" spans="1:2" x14ac:dyDescent="0.35">
      <c r="A59" s="110">
        <v>34001</v>
      </c>
      <c r="B59" s="91">
        <v>4.0599999999999996</v>
      </c>
    </row>
    <row r="60" spans="1:2" x14ac:dyDescent="0.35">
      <c r="A60" s="110">
        <v>34029</v>
      </c>
      <c r="B60" s="91">
        <v>3.08</v>
      </c>
    </row>
    <row r="61" spans="1:2" x14ac:dyDescent="0.35">
      <c r="A61" s="110">
        <v>34060</v>
      </c>
      <c r="B61" s="91">
        <v>0</v>
      </c>
    </row>
    <row r="62" spans="1:2" x14ac:dyDescent="0.35">
      <c r="A62" s="110">
        <v>34090</v>
      </c>
      <c r="B62" s="91">
        <v>0</v>
      </c>
    </row>
    <row r="63" spans="1:2" x14ac:dyDescent="0.35">
      <c r="A63" s="110">
        <v>34121</v>
      </c>
      <c r="B63" s="91">
        <v>0.77</v>
      </c>
    </row>
    <row r="64" spans="1:2" x14ac:dyDescent="0.35">
      <c r="A64" s="110">
        <v>34151</v>
      </c>
      <c r="B64" s="91">
        <v>0</v>
      </c>
    </row>
    <row r="65" spans="1:2" x14ac:dyDescent="0.35">
      <c r="A65" s="110">
        <v>34182</v>
      </c>
      <c r="B65" s="91">
        <v>0</v>
      </c>
    </row>
    <row r="66" spans="1:2" x14ac:dyDescent="0.35">
      <c r="A66" s="110">
        <v>34213</v>
      </c>
      <c r="B66" s="91">
        <v>0</v>
      </c>
    </row>
    <row r="67" spans="1:2" x14ac:dyDescent="0.35">
      <c r="A67" s="110">
        <v>34243</v>
      </c>
      <c r="B67" s="91">
        <v>0.4</v>
      </c>
    </row>
    <row r="68" spans="1:2" x14ac:dyDescent="0.35">
      <c r="A68" s="110">
        <v>34274</v>
      </c>
      <c r="B68" s="91">
        <v>0.56000000000000005</v>
      </c>
    </row>
    <row r="69" spans="1:2" x14ac:dyDescent="0.35">
      <c r="A69" s="110">
        <v>34304</v>
      </c>
      <c r="B69" s="91">
        <v>0.95</v>
      </c>
    </row>
    <row r="70" spans="1:2" x14ac:dyDescent="0.35">
      <c r="A70" s="110">
        <v>34335</v>
      </c>
      <c r="B70" s="91">
        <v>0.3</v>
      </c>
    </row>
    <row r="71" spans="1:2" x14ac:dyDescent="0.35">
      <c r="A71" s="110">
        <v>34366</v>
      </c>
      <c r="B71" s="91">
        <v>3.74</v>
      </c>
    </row>
    <row r="72" spans="1:2" x14ac:dyDescent="0.35">
      <c r="A72" s="110">
        <v>34394</v>
      </c>
      <c r="B72" s="91">
        <v>1.62</v>
      </c>
    </row>
    <row r="73" spans="1:2" x14ac:dyDescent="0.35">
      <c r="A73" s="110">
        <v>34425</v>
      </c>
      <c r="B73" s="91">
        <v>0.84</v>
      </c>
    </row>
    <row r="74" spans="1:2" x14ac:dyDescent="0.35">
      <c r="A74" s="110">
        <v>34455</v>
      </c>
      <c r="B74" s="91">
        <v>0.13</v>
      </c>
    </row>
    <row r="75" spans="1:2" x14ac:dyDescent="0.35">
      <c r="A75" s="110">
        <v>34486</v>
      </c>
      <c r="B75" s="91">
        <v>0</v>
      </c>
    </row>
    <row r="76" spans="1:2" x14ac:dyDescent="0.35">
      <c r="A76" s="110">
        <v>34516</v>
      </c>
      <c r="B76" s="91">
        <v>0</v>
      </c>
    </row>
    <row r="77" spans="1:2" x14ac:dyDescent="0.35">
      <c r="A77" s="110">
        <v>34547</v>
      </c>
      <c r="B77" s="93" t="s">
        <v>0</v>
      </c>
    </row>
    <row r="78" spans="1:2" x14ac:dyDescent="0.35">
      <c r="A78" s="110">
        <v>34578</v>
      </c>
      <c r="B78" s="91">
        <v>0</v>
      </c>
    </row>
    <row r="79" spans="1:2" x14ac:dyDescent="0.35">
      <c r="A79" s="110">
        <v>34608</v>
      </c>
      <c r="B79" s="91">
        <v>0.13</v>
      </c>
    </row>
    <row r="80" spans="1:2" x14ac:dyDescent="0.35">
      <c r="A80" s="110">
        <v>34639</v>
      </c>
      <c r="B80" s="91">
        <v>0.61</v>
      </c>
    </row>
    <row r="81" spans="1:2" x14ac:dyDescent="0.35">
      <c r="A81" s="110">
        <v>34669</v>
      </c>
      <c r="B81" s="91">
        <v>1.25</v>
      </c>
    </row>
    <row r="82" spans="1:2" x14ac:dyDescent="0.35">
      <c r="A82" s="110">
        <v>34700</v>
      </c>
      <c r="B82" s="91">
        <v>9.1</v>
      </c>
    </row>
    <row r="83" spans="1:2" x14ac:dyDescent="0.35">
      <c r="A83" s="110">
        <v>34731</v>
      </c>
      <c r="B83" s="91">
        <v>1.58</v>
      </c>
    </row>
    <row r="84" spans="1:2" x14ac:dyDescent="0.35">
      <c r="A84" s="110">
        <v>34759</v>
      </c>
      <c r="B84" s="91">
        <v>6.69</v>
      </c>
    </row>
    <row r="85" spans="1:2" x14ac:dyDescent="0.35">
      <c r="A85" s="110">
        <v>34790</v>
      </c>
      <c r="B85" s="91">
        <v>0.71</v>
      </c>
    </row>
    <row r="86" spans="1:2" x14ac:dyDescent="0.35">
      <c r="A86" s="110">
        <v>34820</v>
      </c>
      <c r="B86" s="91">
        <v>0.4</v>
      </c>
    </row>
    <row r="87" spans="1:2" x14ac:dyDescent="0.35">
      <c r="A87" s="110">
        <v>34851</v>
      </c>
      <c r="B87" s="91">
        <v>0.52</v>
      </c>
    </row>
    <row r="88" spans="1:2" x14ac:dyDescent="0.35">
      <c r="A88" s="110">
        <v>34881</v>
      </c>
      <c r="B88" s="91">
        <v>0</v>
      </c>
    </row>
    <row r="89" spans="1:2" x14ac:dyDescent="0.35">
      <c r="A89" s="110">
        <v>34912</v>
      </c>
      <c r="B89" s="91">
        <v>0</v>
      </c>
    </row>
    <row r="90" spans="1:2" x14ac:dyDescent="0.35">
      <c r="A90" s="110">
        <v>34943</v>
      </c>
      <c r="B90" s="91">
        <v>0</v>
      </c>
    </row>
    <row r="91" spans="1:2" x14ac:dyDescent="0.35">
      <c r="A91" s="110">
        <f>DATE(95,10,1)</f>
        <v>34973</v>
      </c>
      <c r="B91" s="91">
        <v>0</v>
      </c>
    </row>
    <row r="92" spans="1:2" x14ac:dyDescent="0.35">
      <c r="A92" s="110">
        <f>DATE(95,11,1)</f>
        <v>35004</v>
      </c>
      <c r="B92" s="91">
        <v>0.06</v>
      </c>
    </row>
    <row r="93" spans="1:2" x14ac:dyDescent="0.35">
      <c r="A93" s="110">
        <f>DATE(95,12,1)</f>
        <v>35034</v>
      </c>
      <c r="B93" s="91">
        <v>1.68</v>
      </c>
    </row>
    <row r="94" spans="1:2" x14ac:dyDescent="0.35">
      <c r="A94" s="110">
        <f>DATE(96,1,1)</f>
        <v>35065</v>
      </c>
      <c r="B94" s="91">
        <v>1.71</v>
      </c>
    </row>
    <row r="95" spans="1:2" x14ac:dyDescent="0.35">
      <c r="A95" s="110">
        <f>DATE(96,2,1)</f>
        <v>35096</v>
      </c>
      <c r="B95" s="91">
        <v>6.15</v>
      </c>
    </row>
    <row r="96" spans="1:2" x14ac:dyDescent="0.35">
      <c r="A96" s="110">
        <f>DATE(96,3,1)</f>
        <v>35125</v>
      </c>
      <c r="B96" s="91">
        <v>1.33</v>
      </c>
    </row>
    <row r="97" spans="1:2" x14ac:dyDescent="0.35">
      <c r="A97" s="110">
        <f>DATE(96,4,1)</f>
        <v>35156</v>
      </c>
      <c r="B97" s="94">
        <v>0.89</v>
      </c>
    </row>
    <row r="98" spans="1:2" x14ac:dyDescent="0.35">
      <c r="A98" s="110">
        <f>DATE(96,5,1)</f>
        <v>35186</v>
      </c>
      <c r="B98" s="94">
        <v>0.2</v>
      </c>
    </row>
    <row r="99" spans="1:2" x14ac:dyDescent="0.35">
      <c r="A99" s="110">
        <f>DATE(96,6,1)</f>
        <v>35217</v>
      </c>
      <c r="B99" s="94">
        <v>0</v>
      </c>
    </row>
    <row r="100" spans="1:2" x14ac:dyDescent="0.35">
      <c r="A100" s="110">
        <f>DATE(96,7,1)</f>
        <v>35247</v>
      </c>
      <c r="B100" s="94">
        <v>0</v>
      </c>
    </row>
    <row r="101" spans="1:2" x14ac:dyDescent="0.35">
      <c r="A101" s="110">
        <f>DATE(96,8,1)</f>
        <v>35278</v>
      </c>
      <c r="B101" s="94">
        <v>0</v>
      </c>
    </row>
    <row r="102" spans="1:2" x14ac:dyDescent="0.35">
      <c r="A102" s="110">
        <f>DATE(96,9,1)</f>
        <v>35309</v>
      </c>
      <c r="B102" s="94">
        <v>0</v>
      </c>
    </row>
    <row r="103" spans="1:2" x14ac:dyDescent="0.35">
      <c r="A103" s="110">
        <f>DATE(96,10,1)</f>
        <v>35339</v>
      </c>
      <c r="B103" s="94">
        <v>0.84</v>
      </c>
    </row>
    <row r="104" spans="1:2" x14ac:dyDescent="0.35">
      <c r="A104" s="110">
        <v>35370</v>
      </c>
      <c r="B104" s="94">
        <v>2.14</v>
      </c>
    </row>
    <row r="105" spans="1:2" x14ac:dyDescent="0.35">
      <c r="A105" s="110">
        <v>35400</v>
      </c>
      <c r="B105" s="94">
        <v>3.42</v>
      </c>
    </row>
    <row r="106" spans="1:2" x14ac:dyDescent="0.35">
      <c r="A106" s="110">
        <v>35431</v>
      </c>
      <c r="B106" s="94">
        <v>6.12</v>
      </c>
    </row>
    <row r="107" spans="1:2" x14ac:dyDescent="0.35">
      <c r="A107" s="110">
        <v>35462</v>
      </c>
      <c r="B107" s="94">
        <v>0.28000000000000003</v>
      </c>
    </row>
    <row r="108" spans="1:2" x14ac:dyDescent="0.35">
      <c r="A108" s="110">
        <v>35490</v>
      </c>
      <c r="B108" s="94">
        <v>0</v>
      </c>
    </row>
    <row r="109" spans="1:2" x14ac:dyDescent="0.35">
      <c r="A109" s="110">
        <v>35521</v>
      </c>
      <c r="B109" s="94">
        <v>0</v>
      </c>
    </row>
    <row r="110" spans="1:2" x14ac:dyDescent="0.35">
      <c r="A110" s="110">
        <v>35551</v>
      </c>
      <c r="B110" s="94">
        <v>0</v>
      </c>
    </row>
    <row r="111" spans="1:2" x14ac:dyDescent="0.35">
      <c r="A111" s="110">
        <v>35582</v>
      </c>
      <c r="B111" s="94">
        <v>0.01</v>
      </c>
    </row>
    <row r="112" spans="1:2" x14ac:dyDescent="0.35">
      <c r="A112" s="110">
        <v>35612</v>
      </c>
      <c r="B112" s="94">
        <v>0</v>
      </c>
    </row>
    <row r="113" spans="1:2" x14ac:dyDescent="0.35">
      <c r="A113" s="110">
        <v>35643</v>
      </c>
      <c r="B113" s="94">
        <v>0</v>
      </c>
    </row>
    <row r="114" spans="1:2" x14ac:dyDescent="0.35">
      <c r="A114" s="110">
        <v>35674</v>
      </c>
      <c r="B114" s="94">
        <v>0.17</v>
      </c>
    </row>
    <row r="115" spans="1:2" x14ac:dyDescent="0.35">
      <c r="A115" s="110">
        <f>DATE(97,10,1)</f>
        <v>35704</v>
      </c>
      <c r="B115" s="94">
        <v>0</v>
      </c>
    </row>
    <row r="116" spans="1:2" x14ac:dyDescent="0.35">
      <c r="A116" s="110">
        <v>35735</v>
      </c>
      <c r="B116" s="94">
        <v>2.38</v>
      </c>
    </row>
    <row r="117" spans="1:2" x14ac:dyDescent="0.35">
      <c r="A117" s="110">
        <v>35765</v>
      </c>
      <c r="B117" s="94">
        <v>3.58</v>
      </c>
    </row>
    <row r="118" spans="1:2" x14ac:dyDescent="0.35">
      <c r="A118" s="110">
        <v>35796</v>
      </c>
      <c r="B118" s="94">
        <v>2.4900000000000002</v>
      </c>
    </row>
    <row r="119" spans="1:2" x14ac:dyDescent="0.35">
      <c r="A119" s="110">
        <v>35827</v>
      </c>
      <c r="B119" s="94">
        <v>11.45</v>
      </c>
    </row>
    <row r="120" spans="1:2" x14ac:dyDescent="0.35">
      <c r="A120" s="110">
        <v>35855</v>
      </c>
      <c r="B120" s="94">
        <v>4.41</v>
      </c>
    </row>
    <row r="121" spans="1:2" x14ac:dyDescent="0.35">
      <c r="A121" s="110">
        <v>35886</v>
      </c>
      <c r="B121" s="94">
        <v>0.91</v>
      </c>
    </row>
    <row r="122" spans="1:2" x14ac:dyDescent="0.35">
      <c r="A122" s="110">
        <v>35916</v>
      </c>
      <c r="B122" s="94">
        <v>3.37</v>
      </c>
    </row>
    <row r="123" spans="1:2" x14ac:dyDescent="0.35">
      <c r="A123" s="110">
        <v>35947</v>
      </c>
      <c r="B123" s="94">
        <v>0.14000000000000001</v>
      </c>
    </row>
    <row r="124" spans="1:2" x14ac:dyDescent="0.35">
      <c r="A124" s="110">
        <v>35977</v>
      </c>
      <c r="B124" s="94">
        <v>0</v>
      </c>
    </row>
    <row r="125" spans="1:2" x14ac:dyDescent="0.35">
      <c r="A125" s="110">
        <v>36008</v>
      </c>
      <c r="B125" s="94">
        <v>0</v>
      </c>
    </row>
    <row r="126" spans="1:2" x14ac:dyDescent="0.35">
      <c r="A126" s="110">
        <v>36039</v>
      </c>
      <c r="B126" s="94">
        <v>0.03</v>
      </c>
    </row>
    <row r="127" spans="1:2" x14ac:dyDescent="0.35">
      <c r="A127" s="110">
        <v>36069</v>
      </c>
      <c r="B127" s="94">
        <v>0</v>
      </c>
    </row>
    <row r="128" spans="1:2" x14ac:dyDescent="0.35">
      <c r="A128" s="110">
        <v>36100</v>
      </c>
      <c r="B128" s="94">
        <v>1.87</v>
      </c>
    </row>
    <row r="129" spans="1:2" x14ac:dyDescent="0.35">
      <c r="A129" s="110">
        <v>36130</v>
      </c>
      <c r="B129" s="94">
        <v>1.1100000000000001</v>
      </c>
    </row>
    <row r="130" spans="1:2" x14ac:dyDescent="0.35">
      <c r="A130" s="110">
        <v>36161</v>
      </c>
      <c r="B130" s="94">
        <v>1.48</v>
      </c>
    </row>
    <row r="131" spans="1:2" x14ac:dyDescent="0.35">
      <c r="A131" s="110">
        <v>36192</v>
      </c>
      <c r="B131" s="94">
        <v>0.56999999999999995</v>
      </c>
    </row>
    <row r="132" spans="1:2" x14ac:dyDescent="0.35">
      <c r="A132" s="110">
        <v>36220</v>
      </c>
      <c r="B132" s="94">
        <v>2.29</v>
      </c>
    </row>
    <row r="133" spans="1:2" x14ac:dyDescent="0.35">
      <c r="A133" s="110">
        <v>36251</v>
      </c>
      <c r="B133" s="94">
        <v>1.94</v>
      </c>
    </row>
    <row r="134" spans="1:2" x14ac:dyDescent="0.35">
      <c r="A134" s="110">
        <v>36281</v>
      </c>
      <c r="B134" s="94">
        <v>0</v>
      </c>
    </row>
    <row r="135" spans="1:2" x14ac:dyDescent="0.35">
      <c r="A135" s="110">
        <v>36312</v>
      </c>
      <c r="B135" s="94">
        <v>0.32</v>
      </c>
    </row>
    <row r="136" spans="1:2" x14ac:dyDescent="0.35">
      <c r="A136" s="110">
        <v>36342</v>
      </c>
      <c r="B136" s="94">
        <v>0</v>
      </c>
    </row>
    <row r="137" spans="1:2" x14ac:dyDescent="0.35">
      <c r="A137" s="110">
        <v>36373</v>
      </c>
      <c r="B137" s="94">
        <v>0</v>
      </c>
    </row>
    <row r="138" spans="1:2" x14ac:dyDescent="0.35">
      <c r="A138" s="110">
        <v>36404</v>
      </c>
      <c r="B138" s="94">
        <v>0</v>
      </c>
    </row>
    <row r="139" spans="1:2" x14ac:dyDescent="0.35">
      <c r="A139" s="110">
        <v>36434</v>
      </c>
      <c r="B139" s="94">
        <v>0</v>
      </c>
    </row>
    <row r="140" spans="1:2" x14ac:dyDescent="0.35">
      <c r="A140" s="110">
        <v>36465</v>
      </c>
      <c r="B140" s="94">
        <v>0.46</v>
      </c>
    </row>
    <row r="141" spans="1:2" x14ac:dyDescent="0.35">
      <c r="A141" s="110">
        <v>36495</v>
      </c>
      <c r="B141" s="94">
        <v>0</v>
      </c>
    </row>
    <row r="142" spans="1:2" x14ac:dyDescent="0.35">
      <c r="A142" s="110">
        <v>36526</v>
      </c>
      <c r="B142" s="94">
        <v>1.26</v>
      </c>
    </row>
    <row r="143" spans="1:2" x14ac:dyDescent="0.35">
      <c r="A143" s="110">
        <v>36557</v>
      </c>
      <c r="B143" s="94">
        <v>5.6</v>
      </c>
    </row>
    <row r="144" spans="1:2" x14ac:dyDescent="0.35">
      <c r="A144" s="110">
        <v>36586</v>
      </c>
      <c r="B144" s="94">
        <v>1.99</v>
      </c>
    </row>
    <row r="145" spans="1:2" x14ac:dyDescent="0.35">
      <c r="A145" s="110">
        <v>36617</v>
      </c>
      <c r="B145" s="94">
        <v>2.34</v>
      </c>
    </row>
    <row r="146" spans="1:2" x14ac:dyDescent="0.35">
      <c r="A146" s="110">
        <v>36647</v>
      </c>
      <c r="B146" s="94">
        <v>0.02</v>
      </c>
    </row>
    <row r="147" spans="1:2" x14ac:dyDescent="0.35">
      <c r="A147" s="110">
        <v>36678</v>
      </c>
      <c r="B147" s="94">
        <v>0.02</v>
      </c>
    </row>
    <row r="148" spans="1:2" x14ac:dyDescent="0.35">
      <c r="A148" s="110">
        <v>36708</v>
      </c>
      <c r="B148" s="94">
        <v>0</v>
      </c>
    </row>
    <row r="149" spans="1:2" x14ac:dyDescent="0.35">
      <c r="A149" s="110">
        <v>36739</v>
      </c>
      <c r="B149" s="94">
        <v>0</v>
      </c>
    </row>
    <row r="150" spans="1:2" x14ac:dyDescent="0.35">
      <c r="A150" s="110">
        <v>36770</v>
      </c>
      <c r="B150" s="94">
        <v>0.15</v>
      </c>
    </row>
    <row r="151" spans="1:2" x14ac:dyDescent="0.35">
      <c r="A151" s="112">
        <v>36800</v>
      </c>
      <c r="B151" s="95">
        <v>4.25</v>
      </c>
    </row>
    <row r="152" spans="1:2" x14ac:dyDescent="0.35">
      <c r="A152" s="112">
        <v>36831</v>
      </c>
      <c r="B152" s="95">
        <v>0</v>
      </c>
    </row>
    <row r="153" spans="1:2" x14ac:dyDescent="0.35">
      <c r="A153" s="112">
        <v>36861</v>
      </c>
      <c r="B153" s="95">
        <v>0</v>
      </c>
    </row>
    <row r="154" spans="1:2" x14ac:dyDescent="0.35">
      <c r="A154" s="112">
        <v>36892</v>
      </c>
      <c r="B154" s="95">
        <v>7.21</v>
      </c>
    </row>
    <row r="155" spans="1:2" x14ac:dyDescent="0.35">
      <c r="A155" s="112">
        <v>36923</v>
      </c>
      <c r="B155" s="95">
        <v>7.8</v>
      </c>
    </row>
    <row r="156" spans="1:2" x14ac:dyDescent="0.35">
      <c r="A156" s="112">
        <v>36951</v>
      </c>
      <c r="B156" s="95">
        <v>3.28</v>
      </c>
    </row>
    <row r="157" spans="1:2" x14ac:dyDescent="0.35">
      <c r="A157" s="112">
        <v>36982</v>
      </c>
      <c r="B157" s="95">
        <v>1.56</v>
      </c>
    </row>
    <row r="158" spans="1:2" x14ac:dyDescent="0.35">
      <c r="A158" s="112">
        <v>37012</v>
      </c>
      <c r="B158" s="95">
        <v>0</v>
      </c>
    </row>
    <row r="159" spans="1:2" x14ac:dyDescent="0.35">
      <c r="A159" s="112">
        <v>37043</v>
      </c>
      <c r="B159" s="95">
        <v>0</v>
      </c>
    </row>
    <row r="160" spans="1:2" x14ac:dyDescent="0.35">
      <c r="A160" s="112">
        <v>37073</v>
      </c>
      <c r="B160" s="95">
        <v>0</v>
      </c>
    </row>
    <row r="161" spans="1:2" x14ac:dyDescent="0.35">
      <c r="A161" s="112">
        <v>37104</v>
      </c>
      <c r="B161" s="95">
        <v>0</v>
      </c>
    </row>
    <row r="162" spans="1:2" x14ac:dyDescent="0.35">
      <c r="A162" s="112">
        <v>37135</v>
      </c>
      <c r="B162" s="95">
        <v>0</v>
      </c>
    </row>
    <row r="163" spans="1:2" x14ac:dyDescent="0.35">
      <c r="A163" s="112">
        <v>37165</v>
      </c>
      <c r="B163" s="95">
        <v>0.15</v>
      </c>
    </row>
    <row r="164" spans="1:2" x14ac:dyDescent="0.35">
      <c r="A164" s="113">
        <v>37196</v>
      </c>
      <c r="B164" s="94">
        <v>2.0099999999999998</v>
      </c>
    </row>
    <row r="165" spans="1:2" x14ac:dyDescent="0.35">
      <c r="A165" s="113">
        <v>37226</v>
      </c>
      <c r="B165" s="94">
        <v>1.1000000000000001</v>
      </c>
    </row>
    <row r="166" spans="1:2" x14ac:dyDescent="0.35">
      <c r="A166" s="113">
        <v>37257</v>
      </c>
      <c r="B166" s="94">
        <v>1.44</v>
      </c>
    </row>
    <row r="167" spans="1:2" x14ac:dyDescent="0.35">
      <c r="A167" s="113">
        <v>37288</v>
      </c>
      <c r="B167" s="94">
        <v>0</v>
      </c>
    </row>
    <row r="168" spans="1:2" x14ac:dyDescent="0.35">
      <c r="A168" s="113">
        <v>37316</v>
      </c>
      <c r="B168" s="94">
        <v>0.46</v>
      </c>
    </row>
    <row r="169" spans="1:2" x14ac:dyDescent="0.35">
      <c r="A169" s="113">
        <v>37347</v>
      </c>
      <c r="B169" s="94">
        <v>0.08</v>
      </c>
    </row>
    <row r="170" spans="1:2" x14ac:dyDescent="0.35">
      <c r="A170" s="113">
        <v>37377</v>
      </c>
      <c r="B170" s="94">
        <v>0</v>
      </c>
    </row>
    <row r="171" spans="1:2" x14ac:dyDescent="0.35">
      <c r="A171" s="113">
        <v>37408</v>
      </c>
      <c r="B171" s="94">
        <v>0</v>
      </c>
    </row>
    <row r="172" spans="1:2" x14ac:dyDescent="0.35">
      <c r="A172" s="113">
        <v>37438</v>
      </c>
      <c r="B172" s="94">
        <v>0</v>
      </c>
    </row>
    <row r="173" spans="1:2" x14ac:dyDescent="0.35">
      <c r="A173" s="113">
        <v>37469</v>
      </c>
      <c r="B173" s="94">
        <v>0</v>
      </c>
    </row>
    <row r="174" spans="1:2" x14ac:dyDescent="0.35">
      <c r="A174" s="113">
        <v>37500</v>
      </c>
      <c r="B174" s="94">
        <v>0</v>
      </c>
    </row>
    <row r="175" spans="1:2" x14ac:dyDescent="0.35">
      <c r="A175" s="113">
        <v>37530</v>
      </c>
      <c r="B175" s="94">
        <v>2.5000000000000001E-2</v>
      </c>
    </row>
    <row r="176" spans="1:2" x14ac:dyDescent="0.35">
      <c r="A176" s="113">
        <v>37561</v>
      </c>
      <c r="B176" s="94">
        <v>3.2699999999999996</v>
      </c>
    </row>
    <row r="177" spans="1:2" x14ac:dyDescent="0.35">
      <c r="A177" s="113">
        <v>37591</v>
      </c>
      <c r="B177" s="94">
        <v>3.34</v>
      </c>
    </row>
    <row r="178" spans="1:2" x14ac:dyDescent="0.35">
      <c r="A178" s="113">
        <v>37622</v>
      </c>
      <c r="B178" s="94">
        <v>0</v>
      </c>
    </row>
    <row r="179" spans="1:2" x14ac:dyDescent="0.35">
      <c r="A179" s="113">
        <v>37653</v>
      </c>
      <c r="B179" s="94">
        <v>0.12</v>
      </c>
    </row>
    <row r="180" spans="1:2" x14ac:dyDescent="0.35">
      <c r="A180" s="113">
        <v>37681</v>
      </c>
      <c r="B180" s="94">
        <v>4.1500000000000004</v>
      </c>
    </row>
    <row r="181" spans="1:2" x14ac:dyDescent="0.35">
      <c r="A181" s="113">
        <v>37712</v>
      </c>
      <c r="B181" s="94">
        <v>0.09</v>
      </c>
    </row>
    <row r="182" spans="1:2" x14ac:dyDescent="0.35">
      <c r="A182" s="113">
        <v>37742</v>
      </c>
      <c r="B182" s="94">
        <v>2.2000000000000002</v>
      </c>
    </row>
    <row r="183" spans="1:2" x14ac:dyDescent="0.35">
      <c r="A183" s="113">
        <v>37773</v>
      </c>
      <c r="B183" s="94">
        <v>0.01</v>
      </c>
    </row>
    <row r="184" spans="1:2" x14ac:dyDescent="0.35">
      <c r="A184" s="113">
        <v>37803</v>
      </c>
      <c r="B184" s="94">
        <v>0.01</v>
      </c>
    </row>
    <row r="185" spans="1:2" x14ac:dyDescent="0.35">
      <c r="A185" s="113">
        <v>37834</v>
      </c>
      <c r="B185" s="94">
        <v>0</v>
      </c>
    </row>
    <row r="186" spans="1:2" x14ac:dyDescent="0.35">
      <c r="A186" s="113">
        <v>37865</v>
      </c>
      <c r="B186" s="94">
        <v>0</v>
      </c>
    </row>
    <row r="187" spans="1:2" x14ac:dyDescent="0.35">
      <c r="A187" s="113">
        <v>37895</v>
      </c>
      <c r="B187" s="94">
        <v>0.01</v>
      </c>
    </row>
    <row r="188" spans="1:2" x14ac:dyDescent="0.35">
      <c r="A188" s="113">
        <v>37926</v>
      </c>
      <c r="B188" s="94">
        <v>0.26</v>
      </c>
    </row>
    <row r="189" spans="1:2" x14ac:dyDescent="0.35">
      <c r="A189" s="113">
        <v>37956</v>
      </c>
      <c r="B189" s="94">
        <v>1.5350000000000001</v>
      </c>
    </row>
    <row r="190" spans="1:2" x14ac:dyDescent="0.35">
      <c r="A190" s="113">
        <v>37987</v>
      </c>
      <c r="B190" s="94">
        <v>0.78</v>
      </c>
    </row>
    <row r="191" spans="1:2" x14ac:dyDescent="0.35">
      <c r="A191" s="113">
        <v>38018</v>
      </c>
      <c r="B191" s="94">
        <v>4.7949999999999999</v>
      </c>
    </row>
    <row r="192" spans="1:2" x14ac:dyDescent="0.35">
      <c r="A192" s="113">
        <v>38047</v>
      </c>
      <c r="B192" s="94">
        <v>0.54</v>
      </c>
    </row>
    <row r="193" spans="1:2" x14ac:dyDescent="0.35">
      <c r="A193" s="113">
        <v>38078</v>
      </c>
      <c r="B193" s="94">
        <v>2.5000000000000001E-2</v>
      </c>
    </row>
    <row r="194" spans="1:2" x14ac:dyDescent="0.35">
      <c r="A194" s="113">
        <v>38108</v>
      </c>
      <c r="B194" s="94">
        <v>0</v>
      </c>
    </row>
    <row r="195" spans="1:2" x14ac:dyDescent="0.35">
      <c r="A195" s="113">
        <v>38139</v>
      </c>
      <c r="B195" s="94">
        <v>0</v>
      </c>
    </row>
    <row r="196" spans="1:2" x14ac:dyDescent="0.35">
      <c r="A196" s="113">
        <v>38169</v>
      </c>
      <c r="B196" s="94">
        <v>0</v>
      </c>
    </row>
    <row r="197" spans="1:2" x14ac:dyDescent="0.35">
      <c r="A197" s="113">
        <v>38200</v>
      </c>
      <c r="B197" s="94">
        <v>0</v>
      </c>
    </row>
    <row r="198" spans="1:2" x14ac:dyDescent="0.35">
      <c r="A198" s="113">
        <v>38231</v>
      </c>
      <c r="B198" s="94">
        <v>0</v>
      </c>
    </row>
    <row r="199" spans="1:2" x14ac:dyDescent="0.35">
      <c r="A199" s="113">
        <v>38261</v>
      </c>
      <c r="B199" s="94">
        <v>5.6850000000000005</v>
      </c>
    </row>
    <row r="200" spans="1:2" x14ac:dyDescent="0.35">
      <c r="A200" s="113">
        <v>38292</v>
      </c>
      <c r="B200" s="94">
        <v>8.5000000000000006E-2</v>
      </c>
    </row>
    <row r="201" spans="1:2" x14ac:dyDescent="0.35">
      <c r="A201" s="113">
        <v>38322</v>
      </c>
      <c r="B201" s="94">
        <v>5.6449999999999996</v>
      </c>
    </row>
    <row r="202" spans="1:2" x14ac:dyDescent="0.35">
      <c r="A202" s="113">
        <v>38353</v>
      </c>
      <c r="B202" s="94">
        <v>11.24</v>
      </c>
    </row>
    <row r="203" spans="1:2" x14ac:dyDescent="0.35">
      <c r="A203" s="113">
        <v>38384</v>
      </c>
      <c r="B203" s="94">
        <v>6.99</v>
      </c>
    </row>
    <row r="204" spans="1:2" x14ac:dyDescent="0.35">
      <c r="A204" s="113">
        <v>38412</v>
      </c>
      <c r="B204" s="94">
        <v>2.29</v>
      </c>
    </row>
    <row r="205" spans="1:2" x14ac:dyDescent="0.35">
      <c r="A205" s="113">
        <v>38443</v>
      </c>
      <c r="B205" s="94">
        <v>0</v>
      </c>
    </row>
    <row r="206" spans="1:2" x14ac:dyDescent="0.35">
      <c r="A206" s="113">
        <v>38473</v>
      </c>
      <c r="B206" s="94">
        <v>0</v>
      </c>
    </row>
    <row r="207" spans="1:2" x14ac:dyDescent="0.35">
      <c r="A207" s="113">
        <v>38504</v>
      </c>
      <c r="B207" s="94">
        <v>0.04</v>
      </c>
    </row>
    <row r="208" spans="1:2" x14ac:dyDescent="0.35">
      <c r="A208" s="113">
        <v>38534</v>
      </c>
      <c r="B208" s="94">
        <v>0.01</v>
      </c>
    </row>
    <row r="209" spans="1:2" x14ac:dyDescent="0.35">
      <c r="A209" s="113">
        <v>38565</v>
      </c>
      <c r="B209" s="94">
        <v>0</v>
      </c>
    </row>
    <row r="210" spans="1:2" x14ac:dyDescent="0.35">
      <c r="A210" s="114">
        <v>38596</v>
      </c>
      <c r="B210" s="96">
        <v>4.4999999999999998E-2</v>
      </c>
    </row>
    <row r="211" spans="1:2" x14ac:dyDescent="0.35">
      <c r="A211" s="113">
        <v>38626</v>
      </c>
      <c r="B211" s="94">
        <v>0.51</v>
      </c>
    </row>
    <row r="212" spans="1:2" x14ac:dyDescent="0.35">
      <c r="A212" s="113">
        <v>38657</v>
      </c>
      <c r="B212" s="94">
        <v>0.41499999999999998</v>
      </c>
    </row>
    <row r="213" spans="1:2" x14ac:dyDescent="0.35">
      <c r="A213" s="113">
        <v>38687</v>
      </c>
      <c r="B213" s="94">
        <v>1.05</v>
      </c>
    </row>
    <row r="214" spans="1:2" x14ac:dyDescent="0.35">
      <c r="A214" s="113">
        <v>38718</v>
      </c>
      <c r="B214" s="94">
        <v>1</v>
      </c>
    </row>
    <row r="215" spans="1:2" x14ac:dyDescent="0.35">
      <c r="A215" s="113">
        <v>38749</v>
      </c>
      <c r="B215" s="94">
        <v>4.41</v>
      </c>
    </row>
    <row r="216" spans="1:2" x14ac:dyDescent="0.35">
      <c r="A216" s="113">
        <v>38777</v>
      </c>
      <c r="B216" s="94">
        <v>3.3454999999999999</v>
      </c>
    </row>
    <row r="217" spans="1:2" x14ac:dyDescent="0.35">
      <c r="A217" s="113">
        <v>38808</v>
      </c>
      <c r="B217" s="94">
        <v>2.4300000000000002</v>
      </c>
    </row>
    <row r="218" spans="1:2" x14ac:dyDescent="0.35">
      <c r="A218" s="113">
        <v>38838</v>
      </c>
      <c r="B218" s="94">
        <v>2.58</v>
      </c>
    </row>
    <row r="219" spans="1:2" x14ac:dyDescent="0.35">
      <c r="A219" s="113">
        <v>38869</v>
      </c>
      <c r="B219" s="94">
        <v>0.02</v>
      </c>
    </row>
    <row r="220" spans="1:2" x14ac:dyDescent="0.35">
      <c r="A220" s="113">
        <v>38899</v>
      </c>
      <c r="B220" s="94">
        <v>0</v>
      </c>
    </row>
    <row r="221" spans="1:2" x14ac:dyDescent="0.35">
      <c r="A221" s="113">
        <v>38930</v>
      </c>
      <c r="B221" s="94">
        <v>0</v>
      </c>
    </row>
    <row r="222" spans="1:2" x14ac:dyDescent="0.35">
      <c r="A222" s="114">
        <v>38961</v>
      </c>
      <c r="B222" s="96">
        <v>0</v>
      </c>
    </row>
    <row r="223" spans="1:2" x14ac:dyDescent="0.35">
      <c r="A223" s="113">
        <v>38991</v>
      </c>
      <c r="B223" s="97">
        <v>0.12</v>
      </c>
    </row>
    <row r="224" spans="1:2" x14ac:dyDescent="0.35">
      <c r="A224" s="113">
        <v>39022</v>
      </c>
      <c r="B224" s="97">
        <v>0.24</v>
      </c>
    </row>
    <row r="225" spans="1:2" x14ac:dyDescent="0.35">
      <c r="A225" s="113">
        <v>39052</v>
      </c>
      <c r="B225" s="97">
        <v>0.68</v>
      </c>
    </row>
    <row r="226" spans="1:2" x14ac:dyDescent="0.35">
      <c r="A226" s="113">
        <v>39083</v>
      </c>
      <c r="B226" s="97">
        <v>1.9</v>
      </c>
    </row>
    <row r="227" spans="1:2" x14ac:dyDescent="0.35">
      <c r="A227" s="113">
        <v>39114</v>
      </c>
      <c r="B227" s="97">
        <v>1.55</v>
      </c>
    </row>
    <row r="228" spans="1:2" x14ac:dyDescent="0.35">
      <c r="A228" s="113">
        <v>39142</v>
      </c>
      <c r="B228" s="94">
        <v>0.17499999999999999</v>
      </c>
    </row>
    <row r="229" spans="1:2" x14ac:dyDescent="0.35">
      <c r="A229" s="113">
        <v>39173</v>
      </c>
      <c r="B229" s="94">
        <v>0.79500000000000004</v>
      </c>
    </row>
    <row r="230" spans="1:2" x14ac:dyDescent="0.35">
      <c r="A230" s="113">
        <v>39203</v>
      </c>
      <c r="B230" s="94">
        <v>0.04</v>
      </c>
    </row>
    <row r="231" spans="1:2" x14ac:dyDescent="0.35">
      <c r="A231" s="113">
        <v>39234</v>
      </c>
      <c r="B231" s="94">
        <v>5.0000000000000001E-3</v>
      </c>
    </row>
    <row r="232" spans="1:2" x14ac:dyDescent="0.35">
      <c r="A232" s="113">
        <v>39264</v>
      </c>
      <c r="B232" s="94">
        <v>0</v>
      </c>
    </row>
    <row r="233" spans="1:2" x14ac:dyDescent="0.35">
      <c r="A233" s="113">
        <v>39295</v>
      </c>
      <c r="B233" s="94">
        <v>0</v>
      </c>
    </row>
    <row r="234" spans="1:2" x14ac:dyDescent="0.35">
      <c r="A234" s="114">
        <v>39326</v>
      </c>
      <c r="B234" s="96">
        <v>1.2450000000000001</v>
      </c>
    </row>
    <row r="235" spans="1:2" x14ac:dyDescent="0.35">
      <c r="A235" s="113">
        <v>39356</v>
      </c>
      <c r="B235" s="98">
        <v>0.86</v>
      </c>
    </row>
    <row r="236" spans="1:2" x14ac:dyDescent="0.35">
      <c r="A236" s="113">
        <v>39387</v>
      </c>
      <c r="B236" s="98">
        <v>0.45499999999999996</v>
      </c>
    </row>
    <row r="237" spans="1:2" x14ac:dyDescent="0.35">
      <c r="A237" s="113">
        <v>39417</v>
      </c>
      <c r="B237" s="98">
        <v>1.9550000000000001</v>
      </c>
    </row>
    <row r="238" spans="1:2" x14ac:dyDescent="0.35">
      <c r="A238" s="113">
        <v>39448</v>
      </c>
      <c r="B238" s="98">
        <v>6.02</v>
      </c>
    </row>
    <row r="239" spans="1:2" x14ac:dyDescent="0.35">
      <c r="A239" s="113">
        <v>39479</v>
      </c>
      <c r="B239" s="98">
        <v>2.91</v>
      </c>
    </row>
    <row r="240" spans="1:2" x14ac:dyDescent="0.35">
      <c r="A240" s="113">
        <v>39508</v>
      </c>
      <c r="B240" s="98">
        <v>5.0000000000000001E-3</v>
      </c>
    </row>
    <row r="241" spans="1:2" x14ac:dyDescent="0.35">
      <c r="A241" s="113">
        <v>39539</v>
      </c>
      <c r="B241" s="98">
        <v>5.0000000000000001E-3</v>
      </c>
    </row>
    <row r="242" spans="1:2" x14ac:dyDescent="0.35">
      <c r="A242" s="113">
        <v>39569</v>
      </c>
      <c r="B242" s="98">
        <v>0.245</v>
      </c>
    </row>
    <row r="243" spans="1:2" x14ac:dyDescent="0.35">
      <c r="A243" s="113">
        <v>39600</v>
      </c>
      <c r="B243" s="98">
        <v>5.0000000000000001E-3</v>
      </c>
    </row>
    <row r="244" spans="1:2" x14ac:dyDescent="0.35">
      <c r="A244" s="113">
        <v>39630</v>
      </c>
      <c r="B244" s="98">
        <v>0.01</v>
      </c>
    </row>
    <row r="245" spans="1:2" x14ac:dyDescent="0.35">
      <c r="A245" s="113">
        <v>39661</v>
      </c>
      <c r="B245" s="98">
        <v>0</v>
      </c>
    </row>
    <row r="246" spans="1:2" x14ac:dyDescent="0.35">
      <c r="A246" s="114">
        <v>39692</v>
      </c>
      <c r="B246" s="99">
        <v>0</v>
      </c>
    </row>
    <row r="247" spans="1:2" x14ac:dyDescent="0.35">
      <c r="A247" s="113">
        <v>39722</v>
      </c>
      <c r="B247" s="98">
        <v>8.5000000000000006E-2</v>
      </c>
    </row>
    <row r="248" spans="1:2" x14ac:dyDescent="0.35">
      <c r="A248" s="113">
        <v>39753</v>
      </c>
      <c r="B248" s="98">
        <v>1.52</v>
      </c>
    </row>
    <row r="249" spans="1:2" x14ac:dyDescent="0.35">
      <c r="A249" s="113">
        <v>39783</v>
      </c>
      <c r="B249" s="98">
        <v>2.7800000000000002</v>
      </c>
    </row>
    <row r="250" spans="1:2" x14ac:dyDescent="0.35">
      <c r="A250" s="113">
        <v>39814</v>
      </c>
      <c r="B250" s="94">
        <v>0.4</v>
      </c>
    </row>
    <row r="251" spans="1:2" x14ac:dyDescent="0.35">
      <c r="A251" s="113">
        <v>39845</v>
      </c>
      <c r="B251" s="98">
        <v>5.3599999999999994</v>
      </c>
    </row>
    <row r="252" spans="1:2" x14ac:dyDescent="0.35">
      <c r="A252" s="113">
        <v>39873</v>
      </c>
      <c r="B252" s="98">
        <v>0.55000000000000004</v>
      </c>
    </row>
    <row r="253" spans="1:2" x14ac:dyDescent="0.35">
      <c r="A253" s="113">
        <v>39904</v>
      </c>
      <c r="B253" s="98">
        <v>0.08</v>
      </c>
    </row>
    <row r="254" spans="1:2" x14ac:dyDescent="0.35">
      <c r="A254" s="113">
        <v>39934</v>
      </c>
      <c r="B254" s="98">
        <v>0.01</v>
      </c>
    </row>
    <row r="255" spans="1:2" x14ac:dyDescent="0.35">
      <c r="A255" s="113">
        <v>39965</v>
      </c>
      <c r="B255" s="98">
        <v>0.23499999999999999</v>
      </c>
    </row>
    <row r="256" spans="1:2" x14ac:dyDescent="0.35">
      <c r="A256" s="113">
        <v>39995</v>
      </c>
      <c r="B256" s="98">
        <v>0</v>
      </c>
    </row>
    <row r="257" spans="1:2" x14ac:dyDescent="0.35">
      <c r="A257" s="113">
        <v>40026</v>
      </c>
      <c r="B257" s="98">
        <v>1.4999999999999999E-2</v>
      </c>
    </row>
    <row r="258" spans="1:2" x14ac:dyDescent="0.35">
      <c r="A258" s="114">
        <v>40057</v>
      </c>
      <c r="B258" s="99">
        <v>0</v>
      </c>
    </row>
    <row r="259" spans="1:2" x14ac:dyDescent="0.35">
      <c r="A259" s="113">
        <v>40087</v>
      </c>
      <c r="B259" s="98">
        <v>2.25</v>
      </c>
    </row>
    <row r="260" spans="1:2" x14ac:dyDescent="0.35">
      <c r="A260" s="113">
        <v>40118</v>
      </c>
      <c r="B260" s="98">
        <v>0.02</v>
      </c>
    </row>
    <row r="261" spans="1:2" x14ac:dyDescent="0.35">
      <c r="A261" s="113">
        <v>40148</v>
      </c>
      <c r="B261" s="98">
        <v>3.4249999999999998</v>
      </c>
    </row>
    <row r="262" spans="1:2" x14ac:dyDescent="0.35">
      <c r="A262" s="113">
        <v>40179</v>
      </c>
      <c r="B262" s="98">
        <v>4.1449999999999996</v>
      </c>
    </row>
    <row r="263" spans="1:2" x14ac:dyDescent="0.35">
      <c r="A263" s="113">
        <v>40210</v>
      </c>
      <c r="B263" s="98">
        <v>5.415</v>
      </c>
    </row>
    <row r="264" spans="1:2" x14ac:dyDescent="0.35">
      <c r="A264" s="113">
        <v>40238</v>
      </c>
      <c r="B264" s="98">
        <v>0.21500000000000002</v>
      </c>
    </row>
    <row r="265" spans="1:2" x14ac:dyDescent="0.35">
      <c r="A265" s="113">
        <v>40269</v>
      </c>
      <c r="B265" s="98">
        <v>1.1200000000000001</v>
      </c>
    </row>
    <row r="266" spans="1:2" x14ac:dyDescent="0.35">
      <c r="A266" s="113">
        <v>40299</v>
      </c>
      <c r="B266" s="98">
        <v>0.16</v>
      </c>
    </row>
    <row r="267" spans="1:2" x14ac:dyDescent="0.35">
      <c r="A267" s="113">
        <v>40330</v>
      </c>
      <c r="B267" s="98">
        <v>5.5E-2</v>
      </c>
    </row>
    <row r="268" spans="1:2" x14ac:dyDescent="0.35">
      <c r="A268" s="113">
        <v>40360</v>
      </c>
      <c r="B268" s="98">
        <v>0.11</v>
      </c>
    </row>
    <row r="269" spans="1:2" x14ac:dyDescent="0.35">
      <c r="A269" s="113">
        <v>40391</v>
      </c>
      <c r="B269" s="98">
        <v>0</v>
      </c>
    </row>
    <row r="270" spans="1:2" x14ac:dyDescent="0.35">
      <c r="A270" s="114">
        <v>40422</v>
      </c>
      <c r="B270" s="99">
        <v>0.02</v>
      </c>
    </row>
    <row r="271" spans="1:2" x14ac:dyDescent="0.35">
      <c r="A271" s="113">
        <v>40452</v>
      </c>
      <c r="B271" s="98">
        <v>2.2800000000000002</v>
      </c>
    </row>
    <row r="272" spans="1:2" x14ac:dyDescent="0.35">
      <c r="A272" s="113">
        <v>40483</v>
      </c>
      <c r="B272" s="98">
        <v>0.42000000000000004</v>
      </c>
    </row>
    <row r="273" spans="1:2" x14ac:dyDescent="0.35">
      <c r="A273" s="113">
        <v>40513</v>
      </c>
      <c r="B273" s="98">
        <v>8.7750000000000004</v>
      </c>
    </row>
    <row r="274" spans="1:2" x14ac:dyDescent="0.35">
      <c r="A274" s="113">
        <v>40544</v>
      </c>
      <c r="B274" s="98">
        <v>0.75</v>
      </c>
    </row>
    <row r="275" spans="1:2" x14ac:dyDescent="0.35">
      <c r="A275" s="113">
        <v>40575</v>
      </c>
      <c r="B275" s="98">
        <v>2.7199999999999998</v>
      </c>
    </row>
    <row r="276" spans="1:2" x14ac:dyDescent="0.35">
      <c r="A276" s="113">
        <v>40603</v>
      </c>
      <c r="B276" s="98">
        <v>4.3949999999999996</v>
      </c>
    </row>
    <row r="277" spans="1:2" x14ac:dyDescent="0.35">
      <c r="A277" s="113">
        <v>40634</v>
      </c>
      <c r="B277" s="98">
        <v>0</v>
      </c>
    </row>
    <row r="278" spans="1:2" x14ac:dyDescent="0.35">
      <c r="A278" s="113">
        <v>40664</v>
      </c>
      <c r="B278" s="98">
        <v>0.66500000000000004</v>
      </c>
    </row>
    <row r="279" spans="1:2" x14ac:dyDescent="0.35">
      <c r="A279" s="113">
        <v>40695</v>
      </c>
      <c r="B279" s="98">
        <v>0.11</v>
      </c>
    </row>
    <row r="280" spans="1:2" x14ac:dyDescent="0.35">
      <c r="A280" s="113">
        <v>40725</v>
      </c>
      <c r="B280" s="98">
        <v>0.02</v>
      </c>
    </row>
    <row r="281" spans="1:2" x14ac:dyDescent="0.35">
      <c r="A281" s="113">
        <v>40756</v>
      </c>
      <c r="B281" s="98">
        <v>0</v>
      </c>
    </row>
    <row r="282" spans="1:2" x14ac:dyDescent="0.35">
      <c r="A282" s="114">
        <v>40787</v>
      </c>
      <c r="B282" s="99">
        <v>2.5000000000000001E-2</v>
      </c>
    </row>
    <row r="283" spans="1:2" x14ac:dyDescent="0.35">
      <c r="A283" s="115">
        <v>40817</v>
      </c>
      <c r="B283" s="94">
        <v>2.2999999999999998</v>
      </c>
    </row>
    <row r="284" spans="1:2" x14ac:dyDescent="0.35">
      <c r="A284" s="115">
        <v>40848</v>
      </c>
      <c r="B284" s="98">
        <v>2.16</v>
      </c>
    </row>
    <row r="285" spans="1:2" x14ac:dyDescent="0.35">
      <c r="A285" s="115">
        <v>40878</v>
      </c>
      <c r="B285" s="98">
        <v>1.27</v>
      </c>
    </row>
    <row r="286" spans="1:2" x14ac:dyDescent="0.35">
      <c r="A286" s="115">
        <v>40909</v>
      </c>
      <c r="B286" s="98">
        <v>1.67</v>
      </c>
    </row>
    <row r="287" spans="1:2" x14ac:dyDescent="0.35">
      <c r="A287" s="115">
        <v>40940</v>
      </c>
      <c r="B287" s="98">
        <v>0.05</v>
      </c>
    </row>
    <row r="288" spans="1:2" x14ac:dyDescent="0.35">
      <c r="A288" s="115">
        <v>40969</v>
      </c>
      <c r="B288" s="98">
        <v>3.04</v>
      </c>
    </row>
    <row r="289" spans="1:2" x14ac:dyDescent="0.35">
      <c r="A289" s="115">
        <v>41000</v>
      </c>
      <c r="B289" s="98">
        <v>1.65</v>
      </c>
    </row>
    <row r="290" spans="1:2" x14ac:dyDescent="0.35">
      <c r="A290" s="115">
        <v>41030</v>
      </c>
      <c r="B290" s="98">
        <v>1.4999999999999999E-2</v>
      </c>
    </row>
    <row r="291" spans="1:2" x14ac:dyDescent="0.35">
      <c r="A291" s="115">
        <v>41061</v>
      </c>
      <c r="B291" s="98">
        <v>0.02</v>
      </c>
    </row>
    <row r="292" spans="1:2" x14ac:dyDescent="0.35">
      <c r="A292" s="115">
        <v>41091</v>
      </c>
      <c r="B292" s="98">
        <v>0.03</v>
      </c>
    </row>
    <row r="293" spans="1:2" x14ac:dyDescent="0.35">
      <c r="A293" s="115">
        <v>41122</v>
      </c>
      <c r="B293" s="98">
        <v>0</v>
      </c>
    </row>
    <row r="294" spans="1:2" x14ac:dyDescent="0.35">
      <c r="A294" s="114">
        <v>41153</v>
      </c>
      <c r="B294" s="99">
        <v>1.4999999999999999E-2</v>
      </c>
    </row>
    <row r="295" spans="1:2" x14ac:dyDescent="0.35">
      <c r="A295" s="115">
        <v>41183</v>
      </c>
      <c r="B295" s="100">
        <v>5.5E-2</v>
      </c>
    </row>
    <row r="296" spans="1:2" x14ac:dyDescent="0.35">
      <c r="A296" s="115">
        <v>41214</v>
      </c>
      <c r="B296" s="100">
        <v>1.9749999999999999</v>
      </c>
    </row>
    <row r="297" spans="1:2" x14ac:dyDescent="0.35">
      <c r="A297" s="115">
        <v>41244</v>
      </c>
      <c r="B297" s="100">
        <v>2.64</v>
      </c>
    </row>
    <row r="298" spans="1:2" x14ac:dyDescent="0.35">
      <c r="A298" s="115">
        <v>41275</v>
      </c>
      <c r="B298" s="100">
        <v>1.42</v>
      </c>
    </row>
    <row r="299" spans="1:2" x14ac:dyDescent="0.35">
      <c r="A299" s="115">
        <v>41306</v>
      </c>
      <c r="B299" s="100">
        <v>0.20500000000000002</v>
      </c>
    </row>
    <row r="300" spans="1:2" x14ac:dyDescent="0.35">
      <c r="A300" s="115">
        <v>41334</v>
      </c>
      <c r="B300" s="100">
        <v>0.84</v>
      </c>
    </row>
    <row r="301" spans="1:2" x14ac:dyDescent="0.35">
      <c r="A301" s="115">
        <v>41365</v>
      </c>
      <c r="B301" s="100">
        <v>7.0000000000000007E-2</v>
      </c>
    </row>
    <row r="302" spans="1:2" x14ac:dyDescent="0.35">
      <c r="A302" s="115">
        <v>41395</v>
      </c>
      <c r="B302" s="100">
        <v>0.33999999999999997</v>
      </c>
    </row>
    <row r="303" spans="1:2" x14ac:dyDescent="0.35">
      <c r="A303" s="115">
        <v>41426</v>
      </c>
      <c r="B303" s="100">
        <v>0.01</v>
      </c>
    </row>
    <row r="304" spans="1:2" x14ac:dyDescent="0.35">
      <c r="A304" s="115">
        <v>41456</v>
      </c>
      <c r="B304" s="100">
        <v>0.1</v>
      </c>
    </row>
    <row r="305" spans="1:2" x14ac:dyDescent="0.35">
      <c r="A305" s="115">
        <v>41487</v>
      </c>
      <c r="B305" s="100">
        <v>0</v>
      </c>
    </row>
    <row r="306" spans="1:2" x14ac:dyDescent="0.35">
      <c r="A306" s="114">
        <v>41518</v>
      </c>
      <c r="B306" s="101">
        <v>0</v>
      </c>
    </row>
    <row r="307" spans="1:2" x14ac:dyDescent="0.35">
      <c r="A307" s="115">
        <v>41548</v>
      </c>
      <c r="B307" s="98">
        <v>7.0000000000000007E-2</v>
      </c>
    </row>
    <row r="308" spans="1:2" x14ac:dyDescent="0.35">
      <c r="A308" s="115">
        <v>41579</v>
      </c>
      <c r="B308" s="98">
        <v>0.435</v>
      </c>
    </row>
    <row r="309" spans="1:2" x14ac:dyDescent="0.35">
      <c r="A309" s="115">
        <v>41609</v>
      </c>
      <c r="B309" s="98">
        <v>0.31</v>
      </c>
    </row>
    <row r="310" spans="1:2" x14ac:dyDescent="0.35">
      <c r="A310" s="115">
        <v>41640</v>
      </c>
      <c r="B310" s="98">
        <v>0.05</v>
      </c>
    </row>
    <row r="311" spans="1:2" x14ac:dyDescent="0.35">
      <c r="A311" s="115">
        <v>41671</v>
      </c>
      <c r="B311" s="98">
        <v>3.0150000000000001</v>
      </c>
    </row>
    <row r="312" spans="1:2" x14ac:dyDescent="0.35">
      <c r="A312" s="115">
        <v>41699</v>
      </c>
      <c r="B312" s="98">
        <v>0.28000000000000003</v>
      </c>
    </row>
    <row r="313" spans="1:2" x14ac:dyDescent="0.35">
      <c r="A313" s="115">
        <v>41730</v>
      </c>
      <c r="B313" s="98">
        <v>0.24</v>
      </c>
    </row>
    <row r="314" spans="1:2" x14ac:dyDescent="0.35">
      <c r="A314" s="115">
        <v>41760</v>
      </c>
      <c r="B314" s="98">
        <v>0</v>
      </c>
    </row>
    <row r="315" spans="1:2" x14ac:dyDescent="0.35">
      <c r="A315" s="115">
        <v>41791</v>
      </c>
      <c r="B315" s="98">
        <v>0</v>
      </c>
    </row>
    <row r="316" spans="1:2" x14ac:dyDescent="0.35">
      <c r="A316" s="115">
        <v>41821</v>
      </c>
      <c r="B316" s="98">
        <v>0</v>
      </c>
    </row>
    <row r="317" spans="1:2" x14ac:dyDescent="0.35">
      <c r="A317" s="115">
        <v>41852</v>
      </c>
      <c r="B317" s="98">
        <v>1.4999999999999999E-2</v>
      </c>
    </row>
    <row r="318" spans="1:2" x14ac:dyDescent="0.35">
      <c r="A318" s="114">
        <v>41883</v>
      </c>
      <c r="B318" s="99">
        <v>5.0000000000000001E-3</v>
      </c>
    </row>
    <row r="319" spans="1:2" x14ac:dyDescent="0.35">
      <c r="A319" s="115">
        <v>41913</v>
      </c>
      <c r="B319" s="98">
        <v>5.0000000000000001E-3</v>
      </c>
    </row>
    <row r="320" spans="1:2" x14ac:dyDescent="0.35">
      <c r="A320" s="115">
        <v>41944</v>
      </c>
      <c r="B320" s="98">
        <v>0.55499999999999994</v>
      </c>
    </row>
    <row r="321" spans="1:2" x14ac:dyDescent="0.35">
      <c r="A321" s="115">
        <v>41974</v>
      </c>
      <c r="B321" s="98">
        <v>3.39</v>
      </c>
    </row>
    <row r="322" spans="1:2" x14ac:dyDescent="0.35">
      <c r="A322" s="115">
        <v>42005</v>
      </c>
      <c r="B322" s="98">
        <v>1.9249999999999998</v>
      </c>
    </row>
    <row r="323" spans="1:2" x14ac:dyDescent="0.35">
      <c r="A323" s="115">
        <v>42036</v>
      </c>
      <c r="B323" s="98">
        <v>0.58499999999999996</v>
      </c>
    </row>
    <row r="324" spans="1:2" x14ac:dyDescent="0.35">
      <c r="A324" s="115">
        <v>42064</v>
      </c>
      <c r="B324" s="98">
        <v>1.5350000000000001</v>
      </c>
    </row>
    <row r="325" spans="1:2" x14ac:dyDescent="0.35">
      <c r="A325" s="115">
        <v>42095</v>
      </c>
      <c r="B325" s="98">
        <v>0.26500000000000001</v>
      </c>
    </row>
    <row r="326" spans="1:2" x14ac:dyDescent="0.35">
      <c r="A326" s="115">
        <v>42125</v>
      </c>
      <c r="B326" s="94">
        <v>0.4</v>
      </c>
    </row>
    <row r="327" spans="1:2" x14ac:dyDescent="0.35">
      <c r="A327" s="115">
        <v>42156</v>
      </c>
      <c r="B327" s="98">
        <v>0.14500000000000002</v>
      </c>
    </row>
    <row r="328" spans="1:2" x14ac:dyDescent="0.35">
      <c r="A328" s="115">
        <v>42186</v>
      </c>
      <c r="B328" s="98">
        <v>0.69</v>
      </c>
    </row>
    <row r="329" spans="1:2" x14ac:dyDescent="0.35">
      <c r="A329" s="115">
        <v>42217</v>
      </c>
      <c r="B329" s="98">
        <v>0</v>
      </c>
    </row>
    <row r="330" spans="1:2" x14ac:dyDescent="0.35">
      <c r="A330" s="114">
        <v>42248</v>
      </c>
      <c r="B330" s="99">
        <v>0.66500000000000004</v>
      </c>
    </row>
    <row r="331" spans="1:2" x14ac:dyDescent="0.35">
      <c r="A331" s="115">
        <v>42278</v>
      </c>
      <c r="B331" s="98">
        <v>3.5000000000000003E-2</v>
      </c>
    </row>
    <row r="332" spans="1:2" x14ac:dyDescent="0.35">
      <c r="A332" s="115">
        <v>42309</v>
      </c>
      <c r="B332" s="98">
        <v>0.26</v>
      </c>
    </row>
    <row r="333" spans="1:2" x14ac:dyDescent="0.35">
      <c r="A333" s="115">
        <v>42339</v>
      </c>
      <c r="B333" s="98">
        <v>0.72</v>
      </c>
    </row>
    <row r="334" spans="1:2" x14ac:dyDescent="0.35">
      <c r="A334" s="115">
        <v>42370</v>
      </c>
      <c r="B334" s="98">
        <v>2.79</v>
      </c>
    </row>
    <row r="335" spans="1:2" x14ac:dyDescent="0.35">
      <c r="A335" s="115">
        <v>42401</v>
      </c>
      <c r="B335" s="98">
        <v>0.495</v>
      </c>
    </row>
    <row r="336" spans="1:2" x14ac:dyDescent="0.35">
      <c r="A336" s="115">
        <v>42430</v>
      </c>
      <c r="B336" s="98">
        <v>1.855</v>
      </c>
    </row>
    <row r="337" spans="1:2" x14ac:dyDescent="0.35">
      <c r="A337" s="115">
        <v>42461</v>
      </c>
      <c r="B337" s="98">
        <v>0.28500000000000003</v>
      </c>
    </row>
    <row r="338" spans="1:2" x14ac:dyDescent="0.35">
      <c r="A338" s="115">
        <v>42491</v>
      </c>
      <c r="B338" s="94">
        <v>0</v>
      </c>
    </row>
    <row r="339" spans="1:2" x14ac:dyDescent="0.35">
      <c r="A339" s="115">
        <v>42522</v>
      </c>
      <c r="B339" s="98">
        <v>0.06</v>
      </c>
    </row>
    <row r="340" spans="1:2" x14ac:dyDescent="0.35">
      <c r="A340" s="115">
        <v>42552</v>
      </c>
      <c r="B340" s="98">
        <v>0</v>
      </c>
    </row>
    <row r="341" spans="1:2" x14ac:dyDescent="0.35">
      <c r="A341" s="115">
        <v>42583</v>
      </c>
      <c r="B341" s="98">
        <v>0</v>
      </c>
    </row>
    <row r="342" spans="1:2" x14ac:dyDescent="0.35">
      <c r="A342" s="114">
        <v>42614</v>
      </c>
      <c r="B342" s="99">
        <v>0</v>
      </c>
    </row>
    <row r="343" spans="1:2" x14ac:dyDescent="0.35">
      <c r="A343" s="115">
        <v>42644</v>
      </c>
      <c r="B343" s="98">
        <v>0.54500000000000004</v>
      </c>
    </row>
    <row r="344" spans="1:2" x14ac:dyDescent="0.35">
      <c r="A344" s="115">
        <v>42675</v>
      </c>
      <c r="B344" s="98">
        <v>0.83499999999999996</v>
      </c>
    </row>
    <row r="345" spans="1:2" x14ac:dyDescent="0.35">
      <c r="A345" s="115">
        <v>42705</v>
      </c>
      <c r="B345" s="98">
        <v>3.9849999999999999</v>
      </c>
    </row>
    <row r="346" spans="1:2" x14ac:dyDescent="0.35">
      <c r="A346" s="115">
        <v>42736</v>
      </c>
      <c r="B346" s="98">
        <v>7.93</v>
      </c>
    </row>
    <row r="347" spans="1:2" x14ac:dyDescent="0.35">
      <c r="A347" s="115">
        <v>42767</v>
      </c>
      <c r="B347" s="98">
        <v>6.49</v>
      </c>
    </row>
    <row r="348" spans="1:2" x14ac:dyDescent="0.35">
      <c r="A348" s="115">
        <v>42795</v>
      </c>
      <c r="B348" s="98">
        <v>0.29500000000000004</v>
      </c>
    </row>
    <row r="349" spans="1:2" x14ac:dyDescent="0.35">
      <c r="A349" s="115">
        <v>42826</v>
      </c>
      <c r="B349" s="98">
        <v>0.21000000000000002</v>
      </c>
    </row>
    <row r="350" spans="1:2" x14ac:dyDescent="0.35">
      <c r="A350" s="115">
        <v>42856</v>
      </c>
      <c r="B350" s="94">
        <v>8.4999999999999992E-2</v>
      </c>
    </row>
    <row r="351" spans="1:2" x14ac:dyDescent="0.35">
      <c r="A351" s="115">
        <v>42887</v>
      </c>
      <c r="B351" s="98">
        <v>7.4999999999999997E-2</v>
      </c>
    </row>
    <row r="352" spans="1:2" x14ac:dyDescent="0.35">
      <c r="A352" s="115">
        <v>42917</v>
      </c>
      <c r="B352" s="98">
        <v>0</v>
      </c>
    </row>
    <row r="353" spans="1:2" x14ac:dyDescent="0.35">
      <c r="A353" s="115">
        <v>42948</v>
      </c>
      <c r="B353" s="98">
        <v>0.01</v>
      </c>
    </row>
    <row r="354" spans="1:2" x14ac:dyDescent="0.35">
      <c r="A354" s="114">
        <v>42979</v>
      </c>
      <c r="B354" s="99">
        <v>0.01</v>
      </c>
    </row>
    <row r="355" spans="1:2" x14ac:dyDescent="0.35">
      <c r="A355" s="115">
        <v>43009</v>
      </c>
      <c r="B355" s="98">
        <v>0</v>
      </c>
    </row>
    <row r="356" spans="1:2" x14ac:dyDescent="0.35">
      <c r="A356" s="115">
        <v>43040</v>
      </c>
      <c r="B356" s="98">
        <v>2.5000000000000001E-2</v>
      </c>
    </row>
    <row r="357" spans="1:2" x14ac:dyDescent="0.35">
      <c r="A357" s="115">
        <v>43070</v>
      </c>
      <c r="B357" s="98">
        <v>0</v>
      </c>
    </row>
    <row r="358" spans="1:2" x14ac:dyDescent="0.35">
      <c r="A358" s="115">
        <v>43101</v>
      </c>
      <c r="B358" s="98">
        <v>1.35</v>
      </c>
    </row>
    <row r="359" spans="1:2" x14ac:dyDescent="0.35">
      <c r="A359" s="115">
        <v>43132</v>
      </c>
      <c r="B359" s="98">
        <v>0.04</v>
      </c>
    </row>
    <row r="360" spans="1:2" x14ac:dyDescent="0.35">
      <c r="A360" s="115">
        <v>43160</v>
      </c>
      <c r="B360" s="98">
        <v>3.7150000000000003</v>
      </c>
    </row>
    <row r="361" spans="1:2" x14ac:dyDescent="0.35">
      <c r="A361" s="115">
        <v>43191</v>
      </c>
      <c r="B361" s="98">
        <v>0.02</v>
      </c>
    </row>
    <row r="362" spans="1:2" x14ac:dyDescent="0.35">
      <c r="A362" s="115">
        <v>43221</v>
      </c>
      <c r="B362" s="98">
        <v>6.0000000000000005E-2</v>
      </c>
    </row>
    <row r="363" spans="1:2" x14ac:dyDescent="0.35">
      <c r="A363" s="115">
        <v>43252</v>
      </c>
      <c r="B363" s="98">
        <v>0</v>
      </c>
    </row>
    <row r="364" spans="1:2" x14ac:dyDescent="0.35">
      <c r="A364" s="115">
        <v>43282</v>
      </c>
      <c r="B364" s="98">
        <v>0</v>
      </c>
    </row>
    <row r="365" spans="1:2" x14ac:dyDescent="0.35">
      <c r="A365" s="115">
        <v>43313</v>
      </c>
      <c r="B365" s="98">
        <v>0</v>
      </c>
    </row>
    <row r="366" spans="1:2" x14ac:dyDescent="0.35">
      <c r="A366" s="114">
        <v>43344</v>
      </c>
      <c r="B366" s="99">
        <v>0</v>
      </c>
    </row>
    <row r="367" spans="1:2" x14ac:dyDescent="0.35">
      <c r="A367" s="115">
        <v>43374</v>
      </c>
      <c r="B367" s="98">
        <v>6.5000000000000002E-2</v>
      </c>
    </row>
    <row r="368" spans="1:2" x14ac:dyDescent="0.35">
      <c r="A368" s="115">
        <v>43405</v>
      </c>
      <c r="B368" s="98">
        <v>1.65</v>
      </c>
    </row>
    <row r="369" spans="1:2" x14ac:dyDescent="0.35">
      <c r="A369" s="115">
        <v>43435</v>
      </c>
      <c r="B369" s="98">
        <v>1.08</v>
      </c>
    </row>
    <row r="370" spans="1:2" x14ac:dyDescent="0.35">
      <c r="A370" s="115">
        <v>43466</v>
      </c>
      <c r="B370" s="98">
        <v>5.95</v>
      </c>
    </row>
    <row r="371" spans="1:2" x14ac:dyDescent="0.35">
      <c r="A371" s="116">
        <v>43497</v>
      </c>
      <c r="B371" s="102">
        <v>4.5</v>
      </c>
    </row>
    <row r="372" spans="1:2" x14ac:dyDescent="0.35">
      <c r="A372" s="116">
        <v>43525</v>
      </c>
      <c r="B372" s="102">
        <v>4.0599999999999996</v>
      </c>
    </row>
    <row r="373" spans="1:2" x14ac:dyDescent="0.35">
      <c r="A373" s="115">
        <v>43556</v>
      </c>
      <c r="B373" s="103">
        <v>0.04</v>
      </c>
    </row>
    <row r="374" spans="1:2" x14ac:dyDescent="0.35">
      <c r="A374" s="115">
        <v>43586</v>
      </c>
      <c r="B374" s="103">
        <v>1.72</v>
      </c>
    </row>
    <row r="375" spans="1:2" x14ac:dyDescent="0.35">
      <c r="A375" s="115">
        <v>43617</v>
      </c>
      <c r="B375" s="104">
        <v>0</v>
      </c>
    </row>
    <row r="376" spans="1:2" x14ac:dyDescent="0.35">
      <c r="A376" s="115">
        <v>43647</v>
      </c>
      <c r="B376" s="104">
        <v>0</v>
      </c>
    </row>
    <row r="377" spans="1:2" x14ac:dyDescent="0.35">
      <c r="A377" s="115">
        <v>43678</v>
      </c>
      <c r="B377" s="98">
        <v>0</v>
      </c>
    </row>
    <row r="378" spans="1:2" x14ac:dyDescent="0.35">
      <c r="A378" s="115">
        <v>43709</v>
      </c>
      <c r="B378" s="99">
        <v>0</v>
      </c>
    </row>
    <row r="379" spans="1:2" x14ac:dyDescent="0.35">
      <c r="A379" s="117">
        <v>43739</v>
      </c>
      <c r="B379" s="104">
        <v>0</v>
      </c>
    </row>
    <row r="380" spans="1:2" x14ac:dyDescent="0.35">
      <c r="A380" s="115">
        <v>43770</v>
      </c>
      <c r="B380" s="98">
        <v>1.42</v>
      </c>
    </row>
    <row r="381" spans="1:2" x14ac:dyDescent="0.35">
      <c r="A381" s="115">
        <v>43800</v>
      </c>
      <c r="B381" s="98">
        <v>4.99</v>
      </c>
    </row>
    <row r="382" spans="1:2" x14ac:dyDescent="0.35">
      <c r="A382" s="115">
        <v>43831</v>
      </c>
      <c r="B382" s="94">
        <v>0.6</v>
      </c>
    </row>
    <row r="383" spans="1:2" x14ac:dyDescent="0.35">
      <c r="A383" s="115">
        <v>43862</v>
      </c>
      <c r="B383" s="94">
        <v>0.17</v>
      </c>
    </row>
    <row r="384" spans="1:2" x14ac:dyDescent="0.35">
      <c r="A384" s="115">
        <v>43891</v>
      </c>
      <c r="B384" s="94">
        <v>3.8</v>
      </c>
    </row>
    <row r="385" spans="1:2" x14ac:dyDescent="0.35">
      <c r="A385" s="115">
        <v>43922</v>
      </c>
      <c r="B385" s="98">
        <v>3.07</v>
      </c>
    </row>
    <row r="386" spans="1:2" x14ac:dyDescent="0.35">
      <c r="A386" s="115">
        <v>43952</v>
      </c>
      <c r="B386" s="98">
        <v>0.26</v>
      </c>
    </row>
    <row r="387" spans="1:2" x14ac:dyDescent="0.35">
      <c r="A387" s="115">
        <v>43983</v>
      </c>
      <c r="B387" s="98">
        <v>0</v>
      </c>
    </row>
    <row r="388" spans="1:2" x14ac:dyDescent="0.35">
      <c r="A388" s="115">
        <v>44013</v>
      </c>
      <c r="B388" s="98">
        <v>0</v>
      </c>
    </row>
    <row r="389" spans="1:2" x14ac:dyDescent="0.35">
      <c r="A389" s="115">
        <v>44044</v>
      </c>
      <c r="B389" s="98">
        <v>0</v>
      </c>
    </row>
    <row r="390" spans="1:2" x14ac:dyDescent="0.35">
      <c r="A390" s="114">
        <v>44075</v>
      </c>
      <c r="B390" s="99">
        <v>0</v>
      </c>
    </row>
    <row r="391" spans="1:2" x14ac:dyDescent="0.35">
      <c r="A391" s="117">
        <v>44105</v>
      </c>
      <c r="B391" s="105">
        <v>0</v>
      </c>
    </row>
    <row r="392" spans="1:2" x14ac:dyDescent="0.35">
      <c r="A392" s="115">
        <v>44136</v>
      </c>
      <c r="B392" s="105">
        <v>0.03</v>
      </c>
    </row>
    <row r="393" spans="1:2" x14ac:dyDescent="0.35">
      <c r="A393" s="115">
        <v>44166</v>
      </c>
      <c r="B393" s="105">
        <v>0.89</v>
      </c>
    </row>
    <row r="394" spans="1:2" x14ac:dyDescent="0.35">
      <c r="A394" s="115">
        <v>44197</v>
      </c>
      <c r="B394" s="105">
        <v>1.37</v>
      </c>
    </row>
    <row r="395" spans="1:2" x14ac:dyDescent="0.35">
      <c r="A395" s="115">
        <v>44228</v>
      </c>
      <c r="B395" s="105">
        <v>0</v>
      </c>
    </row>
    <row r="396" spans="1:2" x14ac:dyDescent="0.35">
      <c r="A396" s="115">
        <v>44256</v>
      </c>
      <c r="B396" s="105">
        <v>0.99</v>
      </c>
    </row>
    <row r="397" spans="1:2" x14ac:dyDescent="0.35">
      <c r="A397" s="115">
        <v>44287</v>
      </c>
      <c r="B397" s="105">
        <v>0</v>
      </c>
    </row>
    <row r="398" spans="1:2" x14ac:dyDescent="0.35">
      <c r="A398" s="115">
        <v>44317</v>
      </c>
      <c r="B398" s="100">
        <v>5.0000000000000001E-3</v>
      </c>
    </row>
    <row r="399" spans="1:2" x14ac:dyDescent="0.35">
      <c r="A399" s="115">
        <v>44348</v>
      </c>
      <c r="B399" s="100">
        <v>5.0000000000000001E-3</v>
      </c>
    </row>
    <row r="400" spans="1:2" x14ac:dyDescent="0.35">
      <c r="A400" s="115">
        <v>44378</v>
      </c>
      <c r="B400" s="100">
        <v>0.02</v>
      </c>
    </row>
    <row r="401" spans="1:2" x14ac:dyDescent="0.35">
      <c r="A401" s="115">
        <v>44409</v>
      </c>
      <c r="B401" s="100">
        <v>2.5000000000000001E-2</v>
      </c>
    </row>
    <row r="402" spans="1:2" x14ac:dyDescent="0.35">
      <c r="A402" s="114">
        <v>44440</v>
      </c>
      <c r="B402" s="101">
        <v>0</v>
      </c>
    </row>
    <row r="403" spans="1:2" x14ac:dyDescent="0.35">
      <c r="A403" s="115">
        <v>44470</v>
      </c>
      <c r="B403" s="106">
        <v>0.65500000000000003</v>
      </c>
    </row>
    <row r="404" spans="1:2" x14ac:dyDescent="0.35">
      <c r="A404" s="115">
        <v>44501</v>
      </c>
      <c r="B404" s="107">
        <v>5.0000000000000001E-3</v>
      </c>
    </row>
    <row r="405" spans="1:2" x14ac:dyDescent="0.35">
      <c r="A405" s="115">
        <v>44531</v>
      </c>
      <c r="B405" s="107">
        <v>9.0650000000000013</v>
      </c>
    </row>
    <row r="406" spans="1:2" x14ac:dyDescent="0.35">
      <c r="A406" s="115">
        <v>44562</v>
      </c>
      <c r="B406" s="107">
        <v>0.1</v>
      </c>
    </row>
    <row r="407" spans="1:2" x14ac:dyDescent="0.35">
      <c r="A407" s="115">
        <v>44593</v>
      </c>
      <c r="B407" s="107">
        <v>0</v>
      </c>
    </row>
    <row r="408" spans="1:2" x14ac:dyDescent="0.35">
      <c r="A408" s="115">
        <v>44621</v>
      </c>
      <c r="B408" s="107">
        <v>0.94</v>
      </c>
    </row>
    <row r="409" spans="1:2" x14ac:dyDescent="0.35">
      <c r="A409" s="115">
        <v>44652</v>
      </c>
      <c r="B409" s="107">
        <v>0.01</v>
      </c>
    </row>
    <row r="410" spans="1:2" x14ac:dyDescent="0.35">
      <c r="A410" s="115">
        <v>44682</v>
      </c>
      <c r="B410" s="107">
        <v>0.12</v>
      </c>
    </row>
    <row r="411" spans="1:2" x14ac:dyDescent="0.35">
      <c r="A411" s="115">
        <v>44713</v>
      </c>
      <c r="B411" s="107">
        <v>0.04</v>
      </c>
    </row>
    <row r="412" spans="1:2" x14ac:dyDescent="0.35">
      <c r="A412" s="115">
        <v>44743</v>
      </c>
      <c r="B412" s="107">
        <v>0.04</v>
      </c>
    </row>
    <row r="413" spans="1:2" x14ac:dyDescent="0.35">
      <c r="A413" s="115">
        <v>44774</v>
      </c>
      <c r="B413" s="107">
        <v>0</v>
      </c>
    </row>
    <row r="414" spans="1:2" x14ac:dyDescent="0.35">
      <c r="A414" s="114">
        <v>44805</v>
      </c>
      <c r="B414" s="96">
        <v>0</v>
      </c>
    </row>
    <row r="415" spans="1:2" x14ac:dyDescent="0.35">
      <c r="A415" s="115">
        <v>44835</v>
      </c>
      <c r="B415" s="100">
        <v>8.9999999999999983E-2</v>
      </c>
    </row>
    <row r="416" spans="1:2" x14ac:dyDescent="0.35">
      <c r="A416" s="115">
        <v>44866</v>
      </c>
      <c r="B416" s="100">
        <v>1.43</v>
      </c>
    </row>
    <row r="417" spans="1:2" x14ac:dyDescent="0.35">
      <c r="A417" s="115">
        <v>44896</v>
      </c>
      <c r="B417" s="100">
        <v>2.82</v>
      </c>
    </row>
    <row r="418" spans="1:2" x14ac:dyDescent="0.35">
      <c r="A418" s="115">
        <v>44927</v>
      </c>
      <c r="B418" s="100">
        <v>3.8200000000000003</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Irrigation</vt:lpstr>
      <vt:lpstr>Soil_Moisture</vt:lpstr>
      <vt:lpstr>GW_Elevation</vt:lpstr>
      <vt:lpstr>Precipitation</vt:lpstr>
    </vt:vector>
  </TitlesOfParts>
  <Company>Daniel B. Stephens and Associates,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Chavez, Leobardo</dc:creator>
  <cp:lastModifiedBy>Chavez, Leobardo</cp:lastModifiedBy>
  <dcterms:created xsi:type="dcterms:W3CDTF">2023-04-12T16:18:42Z</dcterms:created>
  <dcterms:modified xsi:type="dcterms:W3CDTF">2023-10-10T23:49:04Z</dcterms:modified>
</cp:coreProperties>
</file>